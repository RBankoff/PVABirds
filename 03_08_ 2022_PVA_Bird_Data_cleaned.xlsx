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176\PycharmProjects\cortniPVA\"/>
    </mc:Choice>
  </mc:AlternateContent>
  <xr:revisionPtr revIDLastSave="0" documentId="13_ncr:1_{E18605FD-929B-4CD2-86E7-995FF2A3F1BB}" xr6:coauthVersionLast="47" xr6:coauthVersionMax="47" xr10:uidLastSave="{00000000-0000-0000-0000-000000000000}"/>
  <bookViews>
    <workbookView xWindow="5520" yWindow="2445" windowWidth="24615" windowHeight="11385" xr2:uid="{CCFB3AA6-2248-0546-97F7-C8A178A6C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87" i="1" l="1"/>
  <c r="BD88" i="1"/>
  <c r="AS88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3" i="1"/>
  <c r="AS4" i="1"/>
  <c r="AS5" i="1"/>
  <c r="AS6" i="1"/>
  <c r="AS7" i="1"/>
  <c r="AS8" i="1"/>
  <c r="AS9" i="1"/>
  <c r="AS10" i="1"/>
  <c r="AS11" i="1"/>
  <c r="AS12" i="1"/>
  <c r="AS13" i="1"/>
  <c r="AS16" i="1"/>
  <c r="AS17" i="1"/>
  <c r="AS18" i="1"/>
  <c r="AS19" i="1"/>
  <c r="AS20" i="1"/>
  <c r="AS2" i="1"/>
  <c r="AM88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2" i="1"/>
  <c r="BD3" i="1"/>
  <c r="BD4" i="1"/>
  <c r="AL4" i="1" s="1"/>
  <c r="BD5" i="1"/>
  <c r="BD6" i="1"/>
  <c r="AL6" i="1" s="1"/>
  <c r="BD7" i="1"/>
  <c r="BD8" i="1"/>
  <c r="AL8" i="1" s="1"/>
  <c r="BD9" i="1"/>
  <c r="AL9" i="1" s="1"/>
  <c r="BD10" i="1"/>
  <c r="BD11" i="1"/>
  <c r="BD12" i="1"/>
  <c r="BD13" i="1"/>
  <c r="BD14" i="1"/>
  <c r="BD15" i="1"/>
  <c r="BD16" i="1"/>
  <c r="BD17" i="1"/>
  <c r="BD18" i="1"/>
  <c r="AL18" i="1" s="1"/>
  <c r="BD19" i="1"/>
  <c r="BD20" i="1"/>
  <c r="AL20" i="1" s="1"/>
  <c r="BD21" i="1"/>
  <c r="AL21" i="1" s="1"/>
  <c r="BD22" i="1"/>
  <c r="BD23" i="1"/>
  <c r="BD24" i="1"/>
  <c r="BD25" i="1"/>
  <c r="BD26" i="1"/>
  <c r="BD27" i="1"/>
  <c r="BD28" i="1"/>
  <c r="AL28" i="1" s="1"/>
  <c r="BD29" i="1"/>
  <c r="BD30" i="1"/>
  <c r="AL30" i="1" s="1"/>
  <c r="BD31" i="1"/>
  <c r="BD32" i="1"/>
  <c r="AL32" i="1" s="1"/>
  <c r="BD33" i="1"/>
  <c r="AL33" i="1" s="1"/>
  <c r="BD34" i="1"/>
  <c r="BD35" i="1"/>
  <c r="BD36" i="1"/>
  <c r="BD37" i="1"/>
  <c r="BD38" i="1"/>
  <c r="BD39" i="1"/>
  <c r="BD40" i="1"/>
  <c r="BD41" i="1"/>
  <c r="BD42" i="1"/>
  <c r="AL42" i="1" s="1"/>
  <c r="BD43" i="1"/>
  <c r="BD44" i="1"/>
  <c r="BD45" i="1"/>
  <c r="BD46" i="1"/>
  <c r="BD47" i="1"/>
  <c r="BD48" i="1"/>
  <c r="BD49" i="1"/>
  <c r="BD50" i="1"/>
  <c r="BD51" i="1"/>
  <c r="BD52" i="1"/>
  <c r="AL52" i="1" s="1"/>
  <c r="BD53" i="1"/>
  <c r="BD54" i="1"/>
  <c r="AL54" i="1" s="1"/>
  <c r="BD55" i="1"/>
  <c r="BD56" i="1"/>
  <c r="BD57" i="1"/>
  <c r="BD58" i="1"/>
  <c r="BD59" i="1"/>
  <c r="BD60" i="1"/>
  <c r="BD61" i="1"/>
  <c r="BD62" i="1"/>
  <c r="BD63" i="1"/>
  <c r="BD64" i="1"/>
  <c r="BD65" i="1"/>
  <c r="BD66" i="1"/>
  <c r="AL66" i="1" s="1"/>
  <c r="BD67" i="1"/>
  <c r="BD68" i="1"/>
  <c r="BD69" i="1"/>
  <c r="BD70" i="1"/>
  <c r="BD71" i="1"/>
  <c r="BD72" i="1"/>
  <c r="BD73" i="1"/>
  <c r="BD74" i="1"/>
  <c r="BD75" i="1"/>
  <c r="BD76" i="1"/>
  <c r="AL76" i="1" s="1"/>
  <c r="BD77" i="1"/>
  <c r="BD78" i="1"/>
  <c r="AL78" i="1" s="1"/>
  <c r="BD79" i="1"/>
  <c r="BD80" i="1"/>
  <c r="AL80" i="1" s="1"/>
  <c r="BD81" i="1"/>
  <c r="BD82" i="1"/>
  <c r="BD83" i="1"/>
  <c r="BD84" i="1"/>
  <c r="BD85" i="1"/>
  <c r="BD86" i="1"/>
  <c r="AL88" i="1"/>
  <c r="BD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L57" i="1" s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L69" i="1" s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L81" i="1" s="1"/>
  <c r="AZ82" i="1"/>
  <c r="AZ83" i="1"/>
  <c r="AZ84" i="1"/>
  <c r="AZ85" i="1"/>
  <c r="AZ86" i="1"/>
  <c r="AZ87" i="1"/>
  <c r="AL87" i="1" s="1"/>
  <c r="AZ88" i="1"/>
  <c r="AZ2" i="1"/>
  <c r="AL67" i="1" l="1"/>
  <c r="AL43" i="1"/>
  <c r="AL19" i="1"/>
  <c r="AL65" i="1"/>
  <c r="AL41" i="1"/>
  <c r="AL17" i="1"/>
  <c r="AL68" i="1"/>
  <c r="AL44" i="1"/>
  <c r="AL2" i="1"/>
  <c r="AL64" i="1"/>
  <c r="AL56" i="1"/>
  <c r="AL40" i="1"/>
  <c r="AL16" i="1"/>
  <c r="AL79" i="1"/>
  <c r="AL55" i="1"/>
  <c r="AL31" i="1"/>
  <c r="AL7" i="1"/>
  <c r="AL77" i="1"/>
  <c r="AL53" i="1"/>
  <c r="AL45" i="1"/>
  <c r="AL29" i="1"/>
  <c r="AL5" i="1"/>
  <c r="AL75" i="1"/>
  <c r="AL39" i="1"/>
  <c r="AL50" i="1"/>
  <c r="AL3" i="1"/>
  <c r="AL26" i="1"/>
  <c r="AL61" i="1"/>
  <c r="AL51" i="1"/>
  <c r="AL62" i="1"/>
  <c r="AL25" i="1"/>
  <c r="AL15" i="1"/>
  <c r="AL37" i="1"/>
  <c r="AL27" i="1"/>
  <c r="AL72" i="1"/>
  <c r="AL36" i="1"/>
  <c r="AL35" i="1"/>
  <c r="AL58" i="1"/>
  <c r="AL86" i="1"/>
  <c r="AL60" i="1"/>
  <c r="AL12" i="1"/>
  <c r="AL83" i="1"/>
  <c r="AL59" i="1"/>
  <c r="AL23" i="1"/>
  <c r="AL82" i="1"/>
  <c r="AL46" i="1"/>
  <c r="AL10" i="1"/>
  <c r="AL63" i="1"/>
  <c r="AL38" i="1"/>
  <c r="AL73" i="1"/>
  <c r="AL13" i="1"/>
  <c r="AL84" i="1"/>
  <c r="AL48" i="1"/>
  <c r="AL24" i="1"/>
  <c r="AL71" i="1"/>
  <c r="AL47" i="1"/>
  <c r="AL11" i="1"/>
  <c r="AL70" i="1"/>
  <c r="AL34" i="1"/>
  <c r="AL22" i="1"/>
  <c r="AL74" i="1"/>
  <c r="AL14" i="1"/>
  <c r="AL85" i="1"/>
  <c r="AL49" i="1"/>
</calcChain>
</file>

<file path=xl/sharedStrings.xml><?xml version="1.0" encoding="utf-8"?>
<sst xmlns="http://schemas.openxmlformats.org/spreadsheetml/2006/main" count="578" uniqueCount="443">
  <si>
    <t>Order</t>
  </si>
  <si>
    <t>Family</t>
  </si>
  <si>
    <t>Genus</t>
  </si>
  <si>
    <t>Species</t>
  </si>
  <si>
    <t>Accipitriformes</t>
  </si>
  <si>
    <t>Accipitridae</t>
  </si>
  <si>
    <t>Accipiter</t>
  </si>
  <si>
    <t>Accipiter francesiae</t>
  </si>
  <si>
    <t>Accipiter henstii</t>
  </si>
  <si>
    <t>Accipiter madagascariensis</t>
  </si>
  <si>
    <t>Passeriformes</t>
  </si>
  <si>
    <t>Sturnidae</t>
  </si>
  <si>
    <t>Acridotheres</t>
  </si>
  <si>
    <t>Acridotheres tristis</t>
  </si>
  <si>
    <t>Psittaciformes</t>
  </si>
  <si>
    <t>Psittacidae</t>
  </si>
  <si>
    <t>Agapornis</t>
  </si>
  <si>
    <t>Agapornis canus</t>
  </si>
  <si>
    <t>Columbiformes</t>
  </si>
  <si>
    <t>Columbidae</t>
  </si>
  <si>
    <t>Alectroenas</t>
  </si>
  <si>
    <t>Alectroenas madagascariensis</t>
  </si>
  <si>
    <t>Anseriformes</t>
  </si>
  <si>
    <t>Anatidae</t>
  </si>
  <si>
    <t>Anas</t>
  </si>
  <si>
    <t>Anas erythrorhyncha</t>
  </si>
  <si>
    <t>Anas melleri</t>
  </si>
  <si>
    <t>Suliformes</t>
  </si>
  <si>
    <t>Anhingidae</t>
  </si>
  <si>
    <t>Anhinga</t>
  </si>
  <si>
    <t>Anhinga rufa</t>
  </si>
  <si>
    <t>Apodiformes</t>
  </si>
  <si>
    <t>Apodidae</t>
  </si>
  <si>
    <t>Apus</t>
  </si>
  <si>
    <t>Apus balstoni</t>
  </si>
  <si>
    <t>Pelecaniformes</t>
  </si>
  <si>
    <t>Ardeidae</t>
  </si>
  <si>
    <t>Ardea</t>
  </si>
  <si>
    <t>Ardea alba</t>
  </si>
  <si>
    <t>Ardea cinerea</t>
  </si>
  <si>
    <t>Ardea humbloti</t>
  </si>
  <si>
    <t>Ardea purpurea</t>
  </si>
  <si>
    <t>Ardeola</t>
  </si>
  <si>
    <t>Ardeola idae</t>
  </si>
  <si>
    <t>Ardeola ralloides</t>
  </si>
  <si>
    <t>Vangidae</t>
  </si>
  <si>
    <t>Artamella</t>
  </si>
  <si>
    <t>Artamella viridis</t>
  </si>
  <si>
    <t>Strigiformes</t>
  </si>
  <si>
    <t>Strigidae</t>
  </si>
  <si>
    <t>Asio</t>
  </si>
  <si>
    <t>Asio capensis</t>
  </si>
  <si>
    <t>Asio madagascariensis</t>
  </si>
  <si>
    <t>Coraciiformes</t>
  </si>
  <si>
    <t>Brachypteraciidae</t>
  </si>
  <si>
    <t>Brachypteracias</t>
  </si>
  <si>
    <t>Brachypteracias leptosomus</t>
  </si>
  <si>
    <t>Bubulcus</t>
  </si>
  <si>
    <t>Bubulcus ibis</t>
  </si>
  <si>
    <t>Buteo</t>
  </si>
  <si>
    <t>Buteo brachypterus</t>
  </si>
  <si>
    <t>Caprimulgiformes</t>
  </si>
  <si>
    <t xml:space="preserve">Caprimulgidae </t>
  </si>
  <si>
    <t>Caprimulgus</t>
  </si>
  <si>
    <t>Caprimulgus madagascariensis</t>
  </si>
  <si>
    <t>Campephagidae</t>
  </si>
  <si>
    <t>Ceblepyris</t>
  </si>
  <si>
    <t>Ceblepyris cinereus</t>
  </si>
  <si>
    <t>Cuculiformes</t>
  </si>
  <si>
    <t>Cuculidae</t>
  </si>
  <si>
    <t>Centropus</t>
  </si>
  <si>
    <t>Centropus toulou</t>
  </si>
  <si>
    <t>Nectariniidae</t>
  </si>
  <si>
    <t>Cinnyris</t>
  </si>
  <si>
    <t>Cinnyris notatus</t>
  </si>
  <si>
    <t>Cinnyris sovimanga</t>
  </si>
  <si>
    <t>Cisticolidae</t>
  </si>
  <si>
    <t>Cisticola</t>
  </si>
  <si>
    <t>Cisticola cherina</t>
  </si>
  <si>
    <t>Muscicapidae</t>
  </si>
  <si>
    <t>Copsychus</t>
  </si>
  <si>
    <t>Copsychus albospecularis</t>
  </si>
  <si>
    <t xml:space="preserve">Psittacidae </t>
  </si>
  <si>
    <t>Coracopsis</t>
  </si>
  <si>
    <t>Coracopsis nigra</t>
  </si>
  <si>
    <t>Coracopsis vasa</t>
  </si>
  <si>
    <t>Corvidae</t>
  </si>
  <si>
    <t>Corvus</t>
  </si>
  <si>
    <t>Corvus albus</t>
  </si>
  <si>
    <t>Alcedinidae</t>
  </si>
  <si>
    <t>Corythornis</t>
  </si>
  <si>
    <t>Corythornis madagascariensis</t>
  </si>
  <si>
    <t>Corythornis vintsioides</t>
  </si>
  <si>
    <t>Galliformes</t>
  </si>
  <si>
    <t>Phasianidae</t>
  </si>
  <si>
    <t>Coturnix</t>
  </si>
  <si>
    <t>Coturnix delegorguei</t>
  </si>
  <si>
    <t>Coua</t>
  </si>
  <si>
    <t>Coua caerulea</t>
  </si>
  <si>
    <t>Coua cristata</t>
  </si>
  <si>
    <t>Coua reynaudii</t>
  </si>
  <si>
    <t>Coua serriana</t>
  </si>
  <si>
    <t>Cuculus</t>
  </si>
  <si>
    <t>Cuculus rochii</t>
  </si>
  <si>
    <t xml:space="preserve">Vangidae </t>
  </si>
  <si>
    <t>Cyanolanius</t>
  </si>
  <si>
    <t>Cyanolanius madagascarinus</t>
  </si>
  <si>
    <t>Cypsiurus</t>
  </si>
  <si>
    <t>Cypsiurus parvus</t>
  </si>
  <si>
    <t>Dendrocygna</t>
  </si>
  <si>
    <t>Dendrocygna viduata</t>
  </si>
  <si>
    <t>Dicruridae</t>
  </si>
  <si>
    <t>Dicrurus</t>
  </si>
  <si>
    <t>Dicrurus forficatus</t>
  </si>
  <si>
    <t>Gruiformes</t>
  </si>
  <si>
    <t xml:space="preserve">Rallidae </t>
  </si>
  <si>
    <t>Dryolimnas</t>
  </si>
  <si>
    <t>Dryolimnas cuvieri</t>
  </si>
  <si>
    <t>Egretta</t>
  </si>
  <si>
    <t>Egretta ardesiaca</t>
  </si>
  <si>
    <t>Euryceros</t>
  </si>
  <si>
    <t>Euryceros prevostii</t>
  </si>
  <si>
    <t>Coraciidae</t>
  </si>
  <si>
    <t>Eurystomus</t>
  </si>
  <si>
    <t>Eurystomus glaucurus</t>
  </si>
  <si>
    <t>Eutriorchis</t>
  </si>
  <si>
    <t>Eutriorchis astur</t>
  </si>
  <si>
    <t>Falconiformes</t>
  </si>
  <si>
    <t>Falconidae</t>
  </si>
  <si>
    <t>Falco</t>
  </si>
  <si>
    <t>Falco newtoni</t>
  </si>
  <si>
    <t>Ploceidae</t>
  </si>
  <si>
    <t>Foudia</t>
  </si>
  <si>
    <t>Foudia madagascariensis</t>
  </si>
  <si>
    <t>Foudia omissa</t>
  </si>
  <si>
    <t>Rallidae</t>
  </si>
  <si>
    <t>Gallinula</t>
  </si>
  <si>
    <t>Gallinula chloropus</t>
  </si>
  <si>
    <t>Geobiastes</t>
  </si>
  <si>
    <t>Geobiastes squamiger</t>
  </si>
  <si>
    <t>Charadriiformes</t>
  </si>
  <si>
    <t>Glareolidae</t>
  </si>
  <si>
    <t>Glareola</t>
  </si>
  <si>
    <t>Glareola ocularis</t>
  </si>
  <si>
    <t>Pycnonotidae</t>
  </si>
  <si>
    <t>Hypsipetes</t>
  </si>
  <si>
    <t>Hypsipetes madagascariensis</t>
  </si>
  <si>
    <t>Estrildidae</t>
  </si>
  <si>
    <t>Lepidopygia</t>
  </si>
  <si>
    <t>Lepidopygia nana</t>
  </si>
  <si>
    <t>Leptopterus</t>
  </si>
  <si>
    <t>Leptopterus chabert</t>
  </si>
  <si>
    <t>Leptosomiformes</t>
  </si>
  <si>
    <t>Leptosomidae</t>
  </si>
  <si>
    <t>Leptosomus</t>
  </si>
  <si>
    <t>Leptosomus discolor</t>
  </si>
  <si>
    <t xml:space="preserve">Threskiornithidae </t>
  </si>
  <si>
    <t>Lophotibis</t>
  </si>
  <si>
    <t>Lophotibis cristata</t>
  </si>
  <si>
    <t>Margaroperdix</t>
  </si>
  <si>
    <t>Margaroperdix madagascarensis</t>
  </si>
  <si>
    <t>Mentocrex</t>
  </si>
  <si>
    <t>Mentocrex kioloides</t>
  </si>
  <si>
    <t xml:space="preserve">Meropidae </t>
  </si>
  <si>
    <t>Merops</t>
  </si>
  <si>
    <t>Merops superciliosus</t>
  </si>
  <si>
    <t>Phalacrocoracidae</t>
  </si>
  <si>
    <t>Microcarbo</t>
  </si>
  <si>
    <t>Microcarbo africanus</t>
  </si>
  <si>
    <t>Motacillidae</t>
  </si>
  <si>
    <t>Motacilla</t>
  </si>
  <si>
    <t>Motacilla flaviventris</t>
  </si>
  <si>
    <t>Nesoenas</t>
  </si>
  <si>
    <t>Nesoenas picturatus</t>
  </si>
  <si>
    <t>Numididae</t>
  </si>
  <si>
    <t>Numida</t>
  </si>
  <si>
    <t>Numida meleagris</t>
  </si>
  <si>
    <t>Nycticorax</t>
  </si>
  <si>
    <t>Nycticorax nycticorax</t>
  </si>
  <si>
    <t>Oriolia</t>
  </si>
  <si>
    <t>Oriolia bernieri</t>
  </si>
  <si>
    <t>Otus</t>
  </si>
  <si>
    <t>Otus rutilus</t>
  </si>
  <si>
    <t>Threskiornithidae</t>
  </si>
  <si>
    <t>Plegadis</t>
  </si>
  <si>
    <t>Plegadis falcinellus</t>
  </si>
  <si>
    <t xml:space="preserve">Ploceidae </t>
  </si>
  <si>
    <t>Ploceus</t>
  </si>
  <si>
    <t>Ploceus nelicourvi</t>
  </si>
  <si>
    <t>Polyboroides</t>
  </si>
  <si>
    <t>Polyboroides radiatus</t>
  </si>
  <si>
    <t>Porphyrio</t>
  </si>
  <si>
    <t>Porphyrio alleni</t>
  </si>
  <si>
    <t>Porphyrio porphyrio</t>
  </si>
  <si>
    <t>Rostratulidae</t>
  </si>
  <si>
    <t>Rostratula</t>
  </si>
  <si>
    <t>Rostratula benghalensis</t>
  </si>
  <si>
    <t>Sarothrura</t>
  </si>
  <si>
    <t>Sarothrura insularis</t>
  </si>
  <si>
    <t>Schetba</t>
  </si>
  <si>
    <t>Schetba rufa</t>
  </si>
  <si>
    <t>Scopidae</t>
  </si>
  <si>
    <t>Scopus</t>
  </si>
  <si>
    <t>Scopus umbretta</t>
  </si>
  <si>
    <t>Laridae</t>
  </si>
  <si>
    <t>Sterna</t>
  </si>
  <si>
    <t>Sterna dougallii</t>
  </si>
  <si>
    <t>Monarchidae</t>
  </si>
  <si>
    <t>Terpsiphone</t>
  </si>
  <si>
    <t>Terpsiphone mutata</t>
  </si>
  <si>
    <t>Treron</t>
  </si>
  <si>
    <t>Treron australis</t>
  </si>
  <si>
    <t>Tytonidae</t>
  </si>
  <si>
    <t>Tyto</t>
  </si>
  <si>
    <t>Tyto alba</t>
  </si>
  <si>
    <t>Tyto soumagnei</t>
  </si>
  <si>
    <t>Vanga</t>
  </si>
  <si>
    <t>Vanga curvirostris</t>
  </si>
  <si>
    <t>Zapornia</t>
  </si>
  <si>
    <t>Zapornia pusilla</t>
  </si>
  <si>
    <t>Zosteropidae</t>
  </si>
  <si>
    <t>Zosterops</t>
  </si>
  <si>
    <t>Zosterops maderaspatanus</t>
  </si>
  <si>
    <t>EngCommonName</t>
  </si>
  <si>
    <t xml:space="preserve">Frances's Goshawk </t>
  </si>
  <si>
    <t xml:space="preserve">Henst's Goshawk </t>
  </si>
  <si>
    <t xml:space="preserve">Madagascan Sparrowhawk </t>
  </si>
  <si>
    <t>Common myna</t>
  </si>
  <si>
    <t xml:space="preserve">Grey-headed Lovebird </t>
  </si>
  <si>
    <t xml:space="preserve">Madagascan Blue-pigeon </t>
  </si>
  <si>
    <t xml:space="preserve">Red-billed Duck </t>
  </si>
  <si>
    <t xml:space="preserve">Meller's Duck </t>
  </si>
  <si>
    <t xml:space="preserve">African Darter </t>
  </si>
  <si>
    <t xml:space="preserve">Madagascar Swift </t>
  </si>
  <si>
    <t xml:space="preserve">Great Egret </t>
  </si>
  <si>
    <t xml:space="preserve">Grey Heron </t>
  </si>
  <si>
    <t xml:space="preserve">Madagascar Heron </t>
  </si>
  <si>
    <t xml:space="preserve">Purple Heron </t>
  </si>
  <si>
    <t xml:space="preserve">Madagascar Pond-heron </t>
  </si>
  <si>
    <t xml:space="preserve">Squacco Heron </t>
  </si>
  <si>
    <t xml:space="preserve">White-headed Vanga </t>
  </si>
  <si>
    <t xml:space="preserve">Marsh Owl </t>
  </si>
  <si>
    <t xml:space="preserve">Madagascar Owl </t>
  </si>
  <si>
    <t xml:space="preserve">Short-legged Ground roller </t>
  </si>
  <si>
    <t xml:space="preserve">Cattle Egret </t>
  </si>
  <si>
    <t xml:space="preserve">Madagascan Buzzard </t>
  </si>
  <si>
    <t xml:space="preserve">Madagascar Nightjar </t>
  </si>
  <si>
    <t>Madagascar Cuckoo-shrike</t>
  </si>
  <si>
    <t xml:space="preserve">Madagascar Coucal </t>
  </si>
  <si>
    <t>Malagasy Green Sunbird</t>
  </si>
  <si>
    <t xml:space="preserve">Souimanga Sunbird </t>
  </si>
  <si>
    <t xml:space="preserve">Madagascan Cisticola </t>
  </si>
  <si>
    <t xml:space="preserve">Madagascar Magpie-robin </t>
  </si>
  <si>
    <t>Lesser vasa parrot</t>
  </si>
  <si>
    <t xml:space="preserve">Greater Vasa Parrot </t>
  </si>
  <si>
    <t xml:space="preserve">Pied Crow </t>
  </si>
  <si>
    <t xml:space="preserve">Madagascan Pygmy kingfisher </t>
  </si>
  <si>
    <t xml:space="preserve">Malagasy Kingfisher </t>
  </si>
  <si>
    <t xml:space="preserve">Harlequin Quail </t>
  </si>
  <si>
    <t xml:space="preserve">Blue Coua </t>
  </si>
  <si>
    <t xml:space="preserve">Crested Coua </t>
  </si>
  <si>
    <t xml:space="preserve">Red-fronted Coua </t>
  </si>
  <si>
    <t xml:space="preserve">Red-breasted Coua </t>
  </si>
  <si>
    <t xml:space="preserve">Madagascar lesser cuckoo </t>
  </si>
  <si>
    <t xml:space="preserve">Blue Vanga </t>
  </si>
  <si>
    <t xml:space="preserve">African Palm-swift </t>
  </si>
  <si>
    <t xml:space="preserve">White-faced Whistling-duck </t>
  </si>
  <si>
    <t xml:space="preserve">Crested Drongo </t>
  </si>
  <si>
    <t xml:space="preserve">White-throated Rail </t>
  </si>
  <si>
    <t xml:space="preserve">Black Heron </t>
  </si>
  <si>
    <t xml:space="preserve">Helmet Vanga </t>
  </si>
  <si>
    <t>Broad-billed Roller</t>
  </si>
  <si>
    <t xml:space="preserve">Madagascar Serpent-eagle </t>
  </si>
  <si>
    <t xml:space="preserve">Madagascar Kestrel </t>
  </si>
  <si>
    <t xml:space="preserve">Madagascar Red Fody </t>
  </si>
  <si>
    <t xml:space="preserve">Forest Fody </t>
  </si>
  <si>
    <t xml:space="preserve">Common Moorhen </t>
  </si>
  <si>
    <t xml:space="preserve">Scaly Ground roller </t>
  </si>
  <si>
    <t xml:space="preserve">Madagascar Pratincole </t>
  </si>
  <si>
    <t xml:space="preserve">Madagascar Bulbul </t>
  </si>
  <si>
    <t xml:space="preserve">Madagascar Mannikin </t>
  </si>
  <si>
    <t xml:space="preserve">Chabert Vanga </t>
  </si>
  <si>
    <t xml:space="preserve">Cuckoo-roller </t>
  </si>
  <si>
    <t xml:space="preserve">Madagascar Crested Ibis </t>
  </si>
  <si>
    <t xml:space="preserve">Madagascar Partridge </t>
  </si>
  <si>
    <t xml:space="preserve">Madagascar Wood Rail </t>
  </si>
  <si>
    <t xml:space="preserve">Madagascar Bee-eater </t>
  </si>
  <si>
    <t xml:space="preserve">Long tailed Cormorant </t>
  </si>
  <si>
    <t xml:space="preserve">Madagascan Wagtail </t>
  </si>
  <si>
    <t xml:space="preserve">Malagasy Turtle dove </t>
  </si>
  <si>
    <t xml:space="preserve">Helmeted guineafowl </t>
  </si>
  <si>
    <t xml:space="preserve">Black-crowned Night-heron </t>
  </si>
  <si>
    <t xml:space="preserve">Bernier's Vanga </t>
  </si>
  <si>
    <t xml:space="preserve">Malagasy Scops-owl </t>
  </si>
  <si>
    <t xml:space="preserve">Glossy Ibis </t>
  </si>
  <si>
    <t xml:space="preserve">Nelicourvi Weaver </t>
  </si>
  <si>
    <t xml:space="preserve">Madagascar Harrier-hawk </t>
  </si>
  <si>
    <t xml:space="preserve">Allen's Gallinule </t>
  </si>
  <si>
    <t xml:space="preserve">Purple Swamphen </t>
  </si>
  <si>
    <t xml:space="preserve">Greater Painted-snipe </t>
  </si>
  <si>
    <t xml:space="preserve">Madagascar Flufftail </t>
  </si>
  <si>
    <t xml:space="preserve">Rufous Vanga </t>
  </si>
  <si>
    <t xml:space="preserve">Hamerkop </t>
  </si>
  <si>
    <t xml:space="preserve">Roseate Tern </t>
  </si>
  <si>
    <t xml:space="preserve">Madagascar Paradise flycatcher </t>
  </si>
  <si>
    <t xml:space="preserve">Madagascan Green pigeon </t>
  </si>
  <si>
    <t xml:space="preserve">Barn Owl </t>
  </si>
  <si>
    <t xml:space="preserve">Madagascar Red Owl </t>
  </si>
  <si>
    <t xml:space="preserve">Hook-billed Vanga </t>
  </si>
  <si>
    <t xml:space="preserve">Baillon's Crake </t>
  </si>
  <si>
    <t xml:space="preserve">Madagascar White eye </t>
  </si>
  <si>
    <t>MalCommonName1</t>
  </si>
  <si>
    <t>Firasa</t>
  </si>
  <si>
    <t>Birirígnina</t>
  </si>
  <si>
    <t>Firasandambo</t>
  </si>
  <si>
    <t>Martaigny</t>
  </si>
  <si>
    <t>Karôko</t>
  </si>
  <si>
    <t>Finengo Mahitso</t>
  </si>
  <si>
    <t>Fotsy Elatra</t>
  </si>
  <si>
    <t>Raháka</t>
  </si>
  <si>
    <t>Vadindrano</t>
  </si>
  <si>
    <t>Manavy Andro</t>
  </si>
  <si>
    <t>Kilandy-be</t>
  </si>
  <si>
    <t>Langaroka</t>
  </si>
  <si>
    <t>Voronpantsiky</t>
  </si>
  <si>
    <t>Renieraka</t>
  </si>
  <si>
    <t>Tsaitsaimpotsy</t>
  </si>
  <si>
    <t>Ankamalotra</t>
  </si>
  <si>
    <t>Kankagna</t>
  </si>
  <si>
    <t>Fangadiôvy</t>
  </si>
  <si>
    <t>Kilandy</t>
  </si>
  <si>
    <t>Fíhaka</t>
  </si>
  <si>
    <t>Dadára</t>
  </si>
  <si>
    <t>Kaikaimavo</t>
  </si>
  <si>
    <t>Monjo</t>
  </si>
  <si>
    <t>So Antsengo</t>
  </si>
  <si>
    <t>So</t>
  </si>
  <si>
    <t>Bôkantehona</t>
  </si>
  <si>
    <t>Antodiagna</t>
  </si>
  <si>
    <t>Boizan-tsíkotro</t>
  </si>
  <si>
    <t>Boizambe</t>
  </si>
  <si>
    <t>Goaka</t>
  </si>
  <si>
    <t>Vintsiala</t>
  </si>
  <si>
    <t>Vintsy</t>
  </si>
  <si>
    <t>Kibo</t>
  </si>
  <si>
    <t>Mariha</t>
  </si>
  <si>
    <t>Tsoko</t>
  </si>
  <si>
    <t>Koa Mena Lôha</t>
  </si>
  <si>
    <t>Koa Mena Tratra</t>
  </si>
  <si>
    <t>Papatôko</t>
  </si>
  <si>
    <t>Vanga Maitso</t>
  </si>
  <si>
    <t>Tsiriry</t>
  </si>
  <si>
    <t>Laidrônga</t>
  </si>
  <si>
    <t>Tsikôza</t>
  </si>
  <si>
    <t>Lombokômana</t>
  </si>
  <si>
    <t>Siketry Be</t>
  </si>
  <si>
    <t>Voronkáhaka</t>
  </si>
  <si>
    <t>Firasa Be</t>
  </si>
  <si>
    <t>Rahítsikítsika</t>
  </si>
  <si>
    <t>Fody</t>
  </si>
  <si>
    <t>Fodiala</t>
  </si>
  <si>
    <t>Talevan-mavo</t>
  </si>
  <si>
    <t>vorongato</t>
  </si>
  <si>
    <t>Tsokoraivana</t>
  </si>
  <si>
    <t>Antsangiritry</t>
  </si>
  <si>
    <t>Kirômbo</t>
  </si>
  <si>
    <t>Akohovohitra</t>
  </si>
  <si>
    <t>Roatelo</t>
  </si>
  <si>
    <t>Tritrikála</t>
  </si>
  <si>
    <t>Tsikóronkorégny</t>
  </si>
  <si>
    <t>Vikiviky</t>
  </si>
  <si>
    <t>Dimóhina</t>
  </si>
  <si>
    <t>Ankanga-dy</t>
  </si>
  <si>
    <t>Jôboko</t>
  </si>
  <si>
    <t>Berinesy</t>
  </si>
  <si>
    <t>Tontoroko</t>
  </si>
  <si>
    <t>Mantavazana</t>
  </si>
  <si>
    <t>Voron-tsaigny</t>
  </si>
  <si>
    <t>Papango</t>
  </si>
  <si>
    <t>Televana</t>
  </si>
  <si>
    <t>Televam-be</t>
  </si>
  <si>
    <t>Tákona</t>
  </si>
  <si>
    <t>Kinto</t>
  </si>
  <si>
    <t>Vangamena</t>
  </si>
  <si>
    <t>Takatra</t>
  </si>
  <si>
    <t>Samby</t>
  </si>
  <si>
    <t>Sikétry</t>
  </si>
  <si>
    <t>Finengo Adabo</t>
  </si>
  <si>
    <t>Vorondolo</t>
  </si>
  <si>
    <t>Vorondolomena</t>
  </si>
  <si>
    <t>Vangabe</t>
  </si>
  <si>
    <t>Televam-pody</t>
  </si>
  <si>
    <t>Tsy Matinangý</t>
  </si>
  <si>
    <t>MaxBroodPerYr</t>
  </si>
  <si>
    <t>DensityDepReproduction</t>
  </si>
  <si>
    <t>AlleePar</t>
  </si>
  <si>
    <t>SteepnessPar</t>
  </si>
  <si>
    <t>Monogamous</t>
  </si>
  <si>
    <t>Polygynous</t>
  </si>
  <si>
    <t>Hermaphroditic</t>
  </si>
  <si>
    <t>SizePerAgeYr</t>
  </si>
  <si>
    <t>AreaMNP</t>
  </si>
  <si>
    <t>MeanCatchPerHHPerYr</t>
  </si>
  <si>
    <t>MaxAgeReproduction</t>
  </si>
  <si>
    <t>MaxLifeSpan</t>
  </si>
  <si>
    <t>GenLength</t>
  </si>
  <si>
    <t>MeanClutchSizePerYr</t>
  </si>
  <si>
    <t>IncubationTimeDays</t>
  </si>
  <si>
    <t>SexRatioBirthPercM</t>
  </si>
  <si>
    <t>YrsDepEst</t>
  </si>
  <si>
    <t>PercBreedingAtLow</t>
  </si>
  <si>
    <t>PercBreedingAtCarryingCap</t>
  </si>
  <si>
    <t>LongTermMonogamy</t>
  </si>
  <si>
    <t>LongTermPolygyny</t>
  </si>
  <si>
    <t>PercAdFemBreeding</t>
  </si>
  <si>
    <t>SDPercAdFemBreedingDueToEnvVar</t>
  </si>
  <si>
    <t>MortalityRate_0_to_1</t>
  </si>
  <si>
    <t>MortalityRate_SD_0_to_1</t>
  </si>
  <si>
    <t>MortalityRate_1_to_2</t>
  </si>
  <si>
    <t>MortalityRate_SD_1_to_2</t>
  </si>
  <si>
    <t>MortalityRate_2_and_older</t>
  </si>
  <si>
    <t>MortalityRate_SD_2_and_older</t>
  </si>
  <si>
    <t>PercMaleInBreedingPool_Alt_MateMonopolization</t>
  </si>
  <si>
    <t>InitialPopulationSizeMasoalaPlus10k</t>
  </si>
  <si>
    <t>MoreThan30Observations_Y_N</t>
  </si>
  <si>
    <t>CarryingCapMasoalaPlus10k</t>
  </si>
  <si>
    <t>CarryingCapMasoalaPlus10k_SD</t>
  </si>
  <si>
    <t>ChangeInCarCap</t>
  </si>
  <si>
    <t>PopHarvestedAfterAgeAtFirstOffspringPerYr</t>
  </si>
  <si>
    <t>AreaLessThan10kmFromMNP</t>
  </si>
  <si>
    <t>MNPPercForCov</t>
  </si>
  <si>
    <t>TotalMNP_Plus10kAreakm2</t>
  </si>
  <si>
    <t>HumanPopDensMNP_Plus10k</t>
  </si>
  <si>
    <t>HumanPopMNP_Plus10k</t>
  </si>
  <si>
    <t>HumanHHMNP_Plus10k</t>
  </si>
  <si>
    <t>AbundancePerHectare2015_to_2022</t>
  </si>
  <si>
    <t>AbundancePerkm2</t>
  </si>
  <si>
    <t>ObsCount2015_to_2022</t>
  </si>
  <si>
    <t>LessThan10kmMNP_PercForCov</t>
  </si>
  <si>
    <t>AgeOfFirstOffspring</t>
  </si>
  <si>
    <t>MaxProgPerBrood</t>
  </si>
  <si>
    <t>AdultSurvivalPropFromBirthToMaxLongevity</t>
  </si>
  <si>
    <t>ChangeInCarCapInYrs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</si>
</sst>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396F-0FAC-1145-89E2-F51BC645D077}">
  <dimension ref="A1:BE88"/>
  <sheetViews>
    <sheetView tabSelected="1" workbookViewId="0">
      <pane xSplit="5" ySplit="1" topLeftCell="AI2" activePane="bottomRight" state="frozen"/>
      <selection pane="topRight" activeCell="F1" sqref="F1"/>
      <selection pane="bottomLeft" activeCell="A2" sqref="A2"/>
      <selection pane="bottomRight" activeCell="AR1" sqref="AR1"/>
    </sheetView>
  </sheetViews>
  <sheetFormatPr defaultColWidth="11" defaultRowHeight="15.75" x14ac:dyDescent="0.25"/>
  <cols>
    <col min="4" max="4" width="16" customWidth="1"/>
    <col min="5" max="5" width="23.5" customWidth="1"/>
    <col min="54" max="54" width="10.875" style="4"/>
  </cols>
  <sheetData>
    <row r="1" spans="1:57" s="7" customFormat="1" ht="78.75" x14ac:dyDescent="0.25">
      <c r="A1" s="7">
        <v>0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223</v>
      </c>
      <c r="G1" s="7" t="s">
        <v>311</v>
      </c>
      <c r="H1" s="7" t="s">
        <v>439</v>
      </c>
      <c r="I1" s="7" t="s">
        <v>403</v>
      </c>
      <c r="J1" s="7" t="s">
        <v>404</v>
      </c>
      <c r="K1" s="7" t="s">
        <v>393</v>
      </c>
      <c r="L1" s="7" t="s">
        <v>440</v>
      </c>
      <c r="M1" s="6" t="s">
        <v>405</v>
      </c>
      <c r="N1" s="8" t="s">
        <v>406</v>
      </c>
      <c r="O1" s="9" t="s">
        <v>407</v>
      </c>
      <c r="P1" s="7" t="s">
        <v>408</v>
      </c>
      <c r="Q1" s="7" t="s">
        <v>409</v>
      </c>
      <c r="R1" s="7" t="s">
        <v>394</v>
      </c>
      <c r="S1" s="7" t="s">
        <v>410</v>
      </c>
      <c r="T1" s="7" t="s">
        <v>411</v>
      </c>
      <c r="U1" s="7" t="s">
        <v>395</v>
      </c>
      <c r="V1" s="7" t="s">
        <v>396</v>
      </c>
      <c r="W1" s="7" t="s">
        <v>397</v>
      </c>
      <c r="X1" s="7" t="s">
        <v>398</v>
      </c>
      <c r="Y1" s="7" t="s">
        <v>399</v>
      </c>
      <c r="Z1" s="7" t="s">
        <v>412</v>
      </c>
      <c r="AA1" s="7" t="s">
        <v>413</v>
      </c>
      <c r="AB1" s="7" t="s">
        <v>414</v>
      </c>
      <c r="AC1" s="7" t="s">
        <v>415</v>
      </c>
      <c r="AD1" s="7" t="s">
        <v>416</v>
      </c>
      <c r="AE1" s="7" t="s">
        <v>417</v>
      </c>
      <c r="AF1" s="7" t="s">
        <v>418</v>
      </c>
      <c r="AG1" s="7" t="s">
        <v>419</v>
      </c>
      <c r="AH1" s="7" t="s">
        <v>420</v>
      </c>
      <c r="AI1" s="7" t="s">
        <v>421</v>
      </c>
      <c r="AJ1" s="5" t="s">
        <v>441</v>
      </c>
      <c r="AK1" s="7" t="s">
        <v>422</v>
      </c>
      <c r="AL1" s="7" t="s">
        <v>423</v>
      </c>
      <c r="AM1" s="7" t="s">
        <v>424</v>
      </c>
      <c r="AN1" s="7" t="s">
        <v>400</v>
      </c>
      <c r="AO1" s="7" t="s">
        <v>425</v>
      </c>
      <c r="AP1" s="7" t="s">
        <v>426</v>
      </c>
      <c r="AQ1" s="7" t="s">
        <v>427</v>
      </c>
      <c r="AR1" s="7" t="s">
        <v>442</v>
      </c>
      <c r="AS1" s="7" t="s">
        <v>428</v>
      </c>
      <c r="AT1" s="7" t="s">
        <v>402</v>
      </c>
      <c r="AU1" s="7" t="s">
        <v>434</v>
      </c>
      <c r="AV1" s="7" t="s">
        <v>433</v>
      </c>
      <c r="AW1" s="7" t="s">
        <v>432</v>
      </c>
      <c r="AX1" s="7" t="s">
        <v>401</v>
      </c>
      <c r="AY1" s="7" t="s">
        <v>429</v>
      </c>
      <c r="AZ1" s="7" t="s">
        <v>431</v>
      </c>
      <c r="BA1" s="7" t="s">
        <v>430</v>
      </c>
      <c r="BB1" s="7" t="s">
        <v>438</v>
      </c>
      <c r="BC1" s="10" t="s">
        <v>435</v>
      </c>
      <c r="BD1" s="7" t="s">
        <v>436</v>
      </c>
      <c r="BE1" s="7" t="s">
        <v>437</v>
      </c>
    </row>
    <row r="2" spans="1:57" x14ac:dyDescent="0.25">
      <c r="A2">
        <v>19</v>
      </c>
      <c r="B2" t="s">
        <v>4</v>
      </c>
      <c r="C2" t="s">
        <v>5</v>
      </c>
      <c r="D2" t="s">
        <v>6</v>
      </c>
      <c r="E2" t="s">
        <v>7</v>
      </c>
      <c r="F2" t="s">
        <v>224</v>
      </c>
      <c r="G2" t="s">
        <v>312</v>
      </c>
      <c r="H2">
        <v>1.561008696</v>
      </c>
      <c r="I2">
        <v>11.147705950000001</v>
      </c>
      <c r="J2">
        <v>11.147705950000001</v>
      </c>
      <c r="M2">
        <v>3.942916818</v>
      </c>
      <c r="N2">
        <v>3</v>
      </c>
      <c r="O2">
        <v>31</v>
      </c>
      <c r="P2">
        <v>0.5</v>
      </c>
      <c r="Q2">
        <v>1</v>
      </c>
      <c r="AJ2">
        <v>0.74717175499999999</v>
      </c>
      <c r="AL2">
        <f>IFERROR((BD2*AZ2),"")</f>
        <v>20015.089873318855</v>
      </c>
      <c r="AM2">
        <f>IF(BE2="","",(IF(BE2&gt;29,1,0)))</f>
        <v>1</v>
      </c>
      <c r="AS2">
        <f>AU2*AT2</f>
        <v>1285.76</v>
      </c>
      <c r="AT2">
        <v>0.04</v>
      </c>
      <c r="AU2">
        <v>32144</v>
      </c>
      <c r="AV2">
        <v>144650</v>
      </c>
      <c r="AW2">
        <v>56.65</v>
      </c>
      <c r="AX2">
        <v>2115.3000000000002</v>
      </c>
      <c r="AY2">
        <v>2553.42</v>
      </c>
      <c r="AZ2">
        <f>AX2+AY2</f>
        <v>4668.72</v>
      </c>
      <c r="BA2">
        <v>99</v>
      </c>
      <c r="BB2">
        <v>26</v>
      </c>
      <c r="BC2" s="4">
        <v>4.2870615229268098E-2</v>
      </c>
      <c r="BD2">
        <f>IF(BC2="","",(BC2*100))</f>
        <v>4.2870615229268099</v>
      </c>
      <c r="BE2">
        <v>63</v>
      </c>
    </row>
    <row r="3" spans="1:57" x14ac:dyDescent="0.25">
      <c r="A3">
        <v>8</v>
      </c>
      <c r="B3" t="s">
        <v>4</v>
      </c>
      <c r="C3" t="s">
        <v>5</v>
      </c>
      <c r="D3" t="s">
        <v>6</v>
      </c>
      <c r="E3" t="s">
        <v>8</v>
      </c>
      <c r="F3" t="s">
        <v>225</v>
      </c>
      <c r="G3" t="s">
        <v>313</v>
      </c>
      <c r="H3">
        <v>2.652543015</v>
      </c>
      <c r="I3">
        <v>18.724142220000001</v>
      </c>
      <c r="J3">
        <v>18.724142220000001</v>
      </c>
      <c r="M3">
        <v>6.9317808589999999</v>
      </c>
      <c r="N3">
        <v>2.5</v>
      </c>
      <c r="O3">
        <v>39.5</v>
      </c>
      <c r="P3">
        <v>0.5</v>
      </c>
      <c r="Q3">
        <v>1</v>
      </c>
      <c r="AJ3">
        <v>0.83762897000000003</v>
      </c>
      <c r="AL3">
        <f t="shared" ref="AL3:AL66" si="0">IFERROR((BD3*AZ3),"")</f>
        <v>3573.2436836689203</v>
      </c>
      <c r="AM3">
        <f t="shared" ref="AM3:AM66" si="1">IF(BE3="","",(IF(BE3&gt;29,1,0)))</f>
        <v>0</v>
      </c>
      <c r="AS3">
        <f t="shared" ref="AS3:AS66" si="2">AU3*AT3</f>
        <v>642.88</v>
      </c>
      <c r="AT3">
        <v>0.02</v>
      </c>
      <c r="AU3">
        <v>32144</v>
      </c>
      <c r="AV3">
        <v>144650</v>
      </c>
      <c r="AW3">
        <v>56.65</v>
      </c>
      <c r="AX3">
        <v>2115.3000000000002</v>
      </c>
      <c r="AY3">
        <v>2553.42</v>
      </c>
      <c r="AZ3">
        <f t="shared" ref="AZ3:AZ66" si="3">AX3+AY3</f>
        <v>4668.72</v>
      </c>
      <c r="BA3">
        <v>99</v>
      </c>
      <c r="BB3">
        <v>26</v>
      </c>
      <c r="BC3" s="4">
        <v>7.6535831741224997E-3</v>
      </c>
      <c r="BD3">
        <f t="shared" ref="BD3:BD66" si="4">IF(BC3="","",(BC3*100))</f>
        <v>0.76535831741225002</v>
      </c>
      <c r="BE3">
        <v>15</v>
      </c>
    </row>
    <row r="4" spans="1:57" x14ac:dyDescent="0.25">
      <c r="A4">
        <v>20</v>
      </c>
      <c r="B4" t="s">
        <v>4</v>
      </c>
      <c r="C4" t="s">
        <v>5</v>
      </c>
      <c r="D4" t="s">
        <v>6</v>
      </c>
      <c r="E4" t="s">
        <v>9</v>
      </c>
      <c r="F4" t="s">
        <v>226</v>
      </c>
      <c r="G4" t="s">
        <v>314</v>
      </c>
      <c r="H4">
        <v>1.7352336290000001</v>
      </c>
      <c r="I4">
        <v>12.661669939999999</v>
      </c>
      <c r="J4">
        <v>12.661669939999999</v>
      </c>
      <c r="M4">
        <v>4.1117189300000003</v>
      </c>
      <c r="N4">
        <v>2.5</v>
      </c>
      <c r="O4">
        <v>35</v>
      </c>
      <c r="P4">
        <v>0.5</v>
      </c>
      <c r="Q4">
        <v>1</v>
      </c>
      <c r="AJ4">
        <v>0.72484651300000003</v>
      </c>
      <c r="AL4">
        <f t="shared" si="0"/>
        <v>28297.844135729887</v>
      </c>
      <c r="AM4">
        <f t="shared" si="1"/>
        <v>0</v>
      </c>
      <c r="AS4">
        <f t="shared" si="2"/>
        <v>321.44</v>
      </c>
      <c r="AT4">
        <v>0.01</v>
      </c>
      <c r="AU4">
        <v>32144</v>
      </c>
      <c r="AV4">
        <v>144650</v>
      </c>
      <c r="AW4">
        <v>56.65</v>
      </c>
      <c r="AX4">
        <v>2115.3000000000002</v>
      </c>
      <c r="AY4">
        <v>2553.42</v>
      </c>
      <c r="AZ4">
        <f t="shared" si="3"/>
        <v>4668.72</v>
      </c>
      <c r="BA4">
        <v>99</v>
      </c>
      <c r="BB4">
        <v>26</v>
      </c>
      <c r="BC4" s="4">
        <v>6.0611568343635701E-2</v>
      </c>
      <c r="BD4">
        <f t="shared" si="4"/>
        <v>6.0611568343635698</v>
      </c>
      <c r="BE4">
        <v>8</v>
      </c>
    </row>
    <row r="5" spans="1:57" x14ac:dyDescent="0.25">
      <c r="A5">
        <v>46</v>
      </c>
      <c r="B5" t="s">
        <v>10</v>
      </c>
      <c r="C5" t="s">
        <v>11</v>
      </c>
      <c r="D5" t="s">
        <v>12</v>
      </c>
      <c r="E5" t="s">
        <v>13</v>
      </c>
      <c r="F5" t="s">
        <v>227</v>
      </c>
      <c r="G5" t="s">
        <v>315</v>
      </c>
      <c r="H5">
        <v>1.1273274600000001</v>
      </c>
      <c r="I5">
        <v>12.2</v>
      </c>
      <c r="J5">
        <v>12.2</v>
      </c>
      <c r="M5">
        <v>3.211699055</v>
      </c>
      <c r="N5">
        <v>5</v>
      </c>
      <c r="O5">
        <v>17.5</v>
      </c>
      <c r="P5">
        <v>0.5</v>
      </c>
      <c r="Q5">
        <v>1</v>
      </c>
      <c r="AJ5">
        <v>0.68999594900000005</v>
      </c>
      <c r="AL5">
        <f t="shared" si="0"/>
        <v>107561.79287894543</v>
      </c>
      <c r="AM5">
        <f t="shared" si="1"/>
        <v>1</v>
      </c>
      <c r="AS5">
        <f t="shared" si="2"/>
        <v>1928.6399999999999</v>
      </c>
      <c r="AT5">
        <v>0.06</v>
      </c>
      <c r="AU5">
        <v>32144</v>
      </c>
      <c r="AV5">
        <v>144650</v>
      </c>
      <c r="AW5">
        <v>56.65</v>
      </c>
      <c r="AX5">
        <v>2115.3000000000002</v>
      </c>
      <c r="AY5">
        <v>2553.42</v>
      </c>
      <c r="AZ5">
        <f t="shared" si="3"/>
        <v>4668.72</v>
      </c>
      <c r="BA5">
        <v>99</v>
      </c>
      <c r="BB5">
        <v>26</v>
      </c>
      <c r="BC5" s="4">
        <v>0.230388185367607</v>
      </c>
      <c r="BD5">
        <f t="shared" si="4"/>
        <v>23.038818536760701</v>
      </c>
      <c r="BE5">
        <v>51</v>
      </c>
    </row>
    <row r="6" spans="1:57" x14ac:dyDescent="0.25">
      <c r="A6">
        <v>29</v>
      </c>
      <c r="B6" t="s">
        <v>14</v>
      </c>
      <c r="C6" t="s">
        <v>15</v>
      </c>
      <c r="D6" t="s">
        <v>16</v>
      </c>
      <c r="E6" t="s">
        <v>17</v>
      </c>
      <c r="F6" t="s">
        <v>228</v>
      </c>
      <c r="G6" t="s">
        <v>316</v>
      </c>
      <c r="H6">
        <v>1</v>
      </c>
      <c r="I6">
        <v>13.13115679</v>
      </c>
      <c r="J6">
        <v>13.13115679</v>
      </c>
      <c r="M6">
        <v>2.724363205</v>
      </c>
      <c r="N6">
        <v>4</v>
      </c>
      <c r="O6">
        <v>21.5</v>
      </c>
      <c r="P6">
        <v>0.5</v>
      </c>
      <c r="Q6">
        <v>1</v>
      </c>
      <c r="AJ6">
        <v>0.60839111999999995</v>
      </c>
      <c r="AL6">
        <f t="shared" si="0"/>
        <v>117768.48824461935</v>
      </c>
      <c r="AM6">
        <f t="shared" si="1"/>
        <v>0</v>
      </c>
      <c r="AS6">
        <f t="shared" si="2"/>
        <v>42430.080000000002</v>
      </c>
      <c r="AT6">
        <v>1.32</v>
      </c>
      <c r="AU6">
        <v>32144</v>
      </c>
      <c r="AV6">
        <v>144650</v>
      </c>
      <c r="AW6">
        <v>56.65</v>
      </c>
      <c r="AX6">
        <v>2115.3000000000002</v>
      </c>
      <c r="AY6">
        <v>2553.42</v>
      </c>
      <c r="AZ6">
        <f t="shared" si="3"/>
        <v>4668.72</v>
      </c>
      <c r="BA6">
        <v>99</v>
      </c>
      <c r="BB6">
        <v>26</v>
      </c>
      <c r="BC6" s="4">
        <v>0.25225005621373597</v>
      </c>
      <c r="BD6">
        <f t="shared" si="4"/>
        <v>25.225005621373597</v>
      </c>
      <c r="BE6">
        <v>26</v>
      </c>
    </row>
    <row r="7" spans="1:57" x14ac:dyDescent="0.25">
      <c r="A7">
        <v>18</v>
      </c>
      <c r="B7" t="s">
        <v>18</v>
      </c>
      <c r="C7" t="s">
        <v>19</v>
      </c>
      <c r="D7" t="s">
        <v>20</v>
      </c>
      <c r="E7" t="s">
        <v>21</v>
      </c>
      <c r="F7" t="s">
        <v>229</v>
      </c>
      <c r="G7" t="s">
        <v>317</v>
      </c>
      <c r="H7">
        <v>2.0984181249999998</v>
      </c>
      <c r="I7">
        <v>16.172805319999998</v>
      </c>
      <c r="J7">
        <v>16.172805319999998</v>
      </c>
      <c r="M7">
        <v>5.1331053180000001</v>
      </c>
      <c r="N7">
        <v>1</v>
      </c>
      <c r="P7">
        <v>0.5</v>
      </c>
      <c r="Q7">
        <v>1</v>
      </c>
      <c r="AJ7">
        <v>0.76924967499999997</v>
      </c>
      <c r="AL7">
        <f t="shared" si="0"/>
        <v>103501.5479760029</v>
      </c>
      <c r="AM7">
        <f t="shared" si="1"/>
        <v>1</v>
      </c>
      <c r="AS7">
        <f t="shared" si="2"/>
        <v>8036</v>
      </c>
      <c r="AT7">
        <v>0.25</v>
      </c>
      <c r="AU7">
        <v>32144</v>
      </c>
      <c r="AV7">
        <v>144650</v>
      </c>
      <c r="AW7">
        <v>56.65</v>
      </c>
      <c r="AX7">
        <v>2115.3000000000002</v>
      </c>
      <c r="AY7">
        <v>2553.42</v>
      </c>
      <c r="AZ7">
        <f t="shared" si="3"/>
        <v>4668.72</v>
      </c>
      <c r="BA7">
        <v>99</v>
      </c>
      <c r="BB7">
        <v>26</v>
      </c>
      <c r="BC7" s="4">
        <v>0.221691487122815</v>
      </c>
      <c r="BD7">
        <f t="shared" si="4"/>
        <v>22.169148712281501</v>
      </c>
      <c r="BE7">
        <v>31</v>
      </c>
    </row>
    <row r="8" spans="1:57" x14ac:dyDescent="0.25">
      <c r="A8">
        <v>24</v>
      </c>
      <c r="B8" t="s">
        <v>22</v>
      </c>
      <c r="C8" t="s">
        <v>23</v>
      </c>
      <c r="D8" t="s">
        <v>24</v>
      </c>
      <c r="E8" t="s">
        <v>25</v>
      </c>
      <c r="F8" t="s">
        <v>230</v>
      </c>
      <c r="G8" t="s">
        <v>318</v>
      </c>
      <c r="H8">
        <v>1.0463883110000001</v>
      </c>
      <c r="I8">
        <v>16.348306539999999</v>
      </c>
      <c r="J8">
        <v>16.348306539999999</v>
      </c>
      <c r="M8">
        <v>3.2214541529999998</v>
      </c>
      <c r="N8">
        <v>10</v>
      </c>
      <c r="O8">
        <v>26.5</v>
      </c>
      <c r="P8">
        <v>0.5</v>
      </c>
      <c r="Q8">
        <v>1</v>
      </c>
      <c r="AJ8">
        <v>0.561116277</v>
      </c>
      <c r="AL8" t="str">
        <f t="shared" si="0"/>
        <v/>
      </c>
      <c r="AM8" t="str">
        <f t="shared" si="1"/>
        <v/>
      </c>
      <c r="AS8">
        <f t="shared" si="2"/>
        <v>25.715200000000003</v>
      </c>
      <c r="AT8">
        <v>8.0000000000000004E-4</v>
      </c>
      <c r="AU8">
        <v>32144</v>
      </c>
      <c r="AV8">
        <v>144650</v>
      </c>
      <c r="AW8">
        <v>56.65</v>
      </c>
      <c r="AX8">
        <v>2115.3000000000002</v>
      </c>
      <c r="AY8">
        <v>2553.42</v>
      </c>
      <c r="AZ8">
        <f t="shared" si="3"/>
        <v>4668.72</v>
      </c>
      <c r="BA8">
        <v>99</v>
      </c>
      <c r="BB8">
        <v>26</v>
      </c>
      <c r="BC8" s="4"/>
      <c r="BD8" t="str">
        <f t="shared" si="4"/>
        <v/>
      </c>
    </row>
    <row r="9" spans="1:57" x14ac:dyDescent="0.25">
      <c r="A9">
        <v>50</v>
      </c>
      <c r="B9" t="s">
        <v>22</v>
      </c>
      <c r="C9" t="s">
        <v>23</v>
      </c>
      <c r="D9" t="s">
        <v>24</v>
      </c>
      <c r="E9" t="s">
        <v>26</v>
      </c>
      <c r="F9" t="s">
        <v>231</v>
      </c>
      <c r="G9" t="s">
        <v>319</v>
      </c>
      <c r="H9">
        <v>1.2576047640000001</v>
      </c>
      <c r="I9">
        <v>19.719862469999999</v>
      </c>
      <c r="J9">
        <v>19.719862469999999</v>
      </c>
      <c r="M9">
        <v>3.8818918309999999</v>
      </c>
      <c r="N9">
        <v>8</v>
      </c>
      <c r="O9">
        <v>28.5</v>
      </c>
      <c r="P9">
        <v>0.5</v>
      </c>
      <c r="Q9">
        <v>1</v>
      </c>
      <c r="AJ9">
        <v>0.64061965499999995</v>
      </c>
      <c r="AL9" t="str">
        <f t="shared" si="0"/>
        <v/>
      </c>
      <c r="AM9" t="str">
        <f t="shared" si="1"/>
        <v/>
      </c>
      <c r="AS9">
        <f t="shared" si="2"/>
        <v>64.287999999999997</v>
      </c>
      <c r="AT9">
        <v>2E-3</v>
      </c>
      <c r="AU9">
        <v>32144</v>
      </c>
      <c r="AV9">
        <v>144650</v>
      </c>
      <c r="AW9">
        <v>56.65</v>
      </c>
      <c r="AX9">
        <v>2115.3000000000002</v>
      </c>
      <c r="AY9">
        <v>2553.42</v>
      </c>
      <c r="AZ9">
        <f t="shared" si="3"/>
        <v>4668.72</v>
      </c>
      <c r="BA9">
        <v>99</v>
      </c>
      <c r="BB9">
        <v>26</v>
      </c>
      <c r="BC9" s="4"/>
      <c r="BD9" t="str">
        <f t="shared" si="4"/>
        <v/>
      </c>
    </row>
    <row r="10" spans="1:57" x14ac:dyDescent="0.25">
      <c r="A10">
        <v>76</v>
      </c>
      <c r="B10" t="s">
        <v>27</v>
      </c>
      <c r="C10" t="s">
        <v>28</v>
      </c>
      <c r="D10" t="s">
        <v>29</v>
      </c>
      <c r="E10" t="s">
        <v>30</v>
      </c>
      <c r="F10" t="s">
        <v>232</v>
      </c>
      <c r="G10" t="s">
        <v>320</v>
      </c>
      <c r="H10">
        <v>2.6604597129999998</v>
      </c>
      <c r="I10">
        <v>17.36648551</v>
      </c>
      <c r="J10">
        <v>17.36648551</v>
      </c>
      <c r="M10">
        <v>6.6965484609999999</v>
      </c>
      <c r="N10">
        <v>4</v>
      </c>
      <c r="O10">
        <v>28</v>
      </c>
      <c r="P10">
        <v>0.5</v>
      </c>
      <c r="Q10">
        <v>1</v>
      </c>
      <c r="AJ10">
        <v>0.83814139600000004</v>
      </c>
      <c r="AL10" t="str">
        <f t="shared" si="0"/>
        <v/>
      </c>
      <c r="AM10" t="str">
        <f t="shared" si="1"/>
        <v/>
      </c>
      <c r="AS10">
        <f t="shared" si="2"/>
        <v>64.287999999999997</v>
      </c>
      <c r="AT10">
        <v>2E-3</v>
      </c>
      <c r="AU10">
        <v>32144</v>
      </c>
      <c r="AV10">
        <v>144650</v>
      </c>
      <c r="AW10">
        <v>56.65</v>
      </c>
      <c r="AX10">
        <v>2115.3000000000002</v>
      </c>
      <c r="AY10">
        <v>2553.42</v>
      </c>
      <c r="AZ10">
        <f t="shared" si="3"/>
        <v>4668.72</v>
      </c>
      <c r="BA10">
        <v>99</v>
      </c>
      <c r="BB10">
        <v>26</v>
      </c>
      <c r="BC10" s="4"/>
      <c r="BD10" t="str">
        <f t="shared" si="4"/>
        <v/>
      </c>
    </row>
    <row r="11" spans="1:57" x14ac:dyDescent="0.25">
      <c r="A11">
        <v>42</v>
      </c>
      <c r="B11" t="s">
        <v>31</v>
      </c>
      <c r="C11" t="s">
        <v>32</v>
      </c>
      <c r="D11" t="s">
        <v>33</v>
      </c>
      <c r="E11" t="s">
        <v>34</v>
      </c>
      <c r="F11" t="s">
        <v>233</v>
      </c>
      <c r="G11" t="s">
        <v>321</v>
      </c>
      <c r="H11">
        <v>2.4975115080000001</v>
      </c>
      <c r="I11">
        <v>14.176368500000001</v>
      </c>
      <c r="J11">
        <v>14.176368500000001</v>
      </c>
      <c r="M11">
        <v>5.2896795089999999</v>
      </c>
      <c r="N11">
        <v>2</v>
      </c>
      <c r="O11">
        <v>19.600000000000001</v>
      </c>
      <c r="P11">
        <v>0.5</v>
      </c>
      <c r="Q11">
        <v>1</v>
      </c>
      <c r="AJ11">
        <v>0.76028285799999995</v>
      </c>
      <c r="AL11" t="str">
        <f t="shared" si="0"/>
        <v/>
      </c>
      <c r="AM11" t="str">
        <f t="shared" si="1"/>
        <v/>
      </c>
      <c r="AS11">
        <f t="shared" si="2"/>
        <v>321.44</v>
      </c>
      <c r="AT11">
        <v>0.01</v>
      </c>
      <c r="AU11">
        <v>32144</v>
      </c>
      <c r="AV11">
        <v>144650</v>
      </c>
      <c r="AW11">
        <v>56.65</v>
      </c>
      <c r="AX11">
        <v>2115.3000000000002</v>
      </c>
      <c r="AY11">
        <v>2553.42</v>
      </c>
      <c r="AZ11">
        <f t="shared" si="3"/>
        <v>4668.72</v>
      </c>
      <c r="BA11">
        <v>99</v>
      </c>
      <c r="BB11">
        <v>26</v>
      </c>
      <c r="BC11" s="4"/>
      <c r="BD11" t="str">
        <f t="shared" si="4"/>
        <v/>
      </c>
    </row>
    <row r="12" spans="1:57" x14ac:dyDescent="0.25">
      <c r="A12">
        <v>32</v>
      </c>
      <c r="B12" t="s">
        <v>35</v>
      </c>
      <c r="C12" t="s">
        <v>36</v>
      </c>
      <c r="D12" t="s">
        <v>37</v>
      </c>
      <c r="E12" t="s">
        <v>38</v>
      </c>
      <c r="F12" t="s">
        <v>234</v>
      </c>
      <c r="G12" t="s">
        <v>322</v>
      </c>
      <c r="H12">
        <v>2</v>
      </c>
      <c r="I12">
        <v>22.83</v>
      </c>
      <c r="J12">
        <v>22.83</v>
      </c>
      <c r="M12">
        <v>6.0366574689999997</v>
      </c>
      <c r="N12">
        <v>3.5</v>
      </c>
      <c r="O12">
        <v>24.25</v>
      </c>
      <c r="P12">
        <v>0.5</v>
      </c>
      <c r="Q12">
        <v>1</v>
      </c>
      <c r="AJ12">
        <v>0.76432672999999995</v>
      </c>
      <c r="AL12" t="str">
        <f t="shared" si="0"/>
        <v/>
      </c>
      <c r="AM12" t="str">
        <f t="shared" si="1"/>
        <v/>
      </c>
      <c r="AS12">
        <f t="shared" si="2"/>
        <v>642.88</v>
      </c>
      <c r="AT12">
        <v>0.02</v>
      </c>
      <c r="AU12">
        <v>32144</v>
      </c>
      <c r="AV12">
        <v>144650</v>
      </c>
      <c r="AW12">
        <v>56.65</v>
      </c>
      <c r="AX12">
        <v>2115.3000000000002</v>
      </c>
      <c r="AY12">
        <v>2553.42</v>
      </c>
      <c r="AZ12">
        <f t="shared" si="3"/>
        <v>4668.72</v>
      </c>
      <c r="BA12">
        <v>99</v>
      </c>
      <c r="BB12">
        <v>26</v>
      </c>
      <c r="BC12" s="4"/>
      <c r="BD12" t="str">
        <f t="shared" si="4"/>
        <v/>
      </c>
    </row>
    <row r="13" spans="1:57" x14ac:dyDescent="0.25">
      <c r="A13">
        <v>37</v>
      </c>
      <c r="B13" t="s">
        <v>35</v>
      </c>
      <c r="C13" t="s">
        <v>36</v>
      </c>
      <c r="D13" t="s">
        <v>37</v>
      </c>
      <c r="E13" t="s">
        <v>39</v>
      </c>
      <c r="F13" t="s">
        <v>235</v>
      </c>
      <c r="G13" t="s">
        <v>323</v>
      </c>
      <c r="H13">
        <v>2</v>
      </c>
      <c r="I13">
        <v>37.5</v>
      </c>
      <c r="J13">
        <v>37.5</v>
      </c>
      <c r="M13">
        <v>8.8795650580000007</v>
      </c>
      <c r="N13">
        <v>4.1100000000000003</v>
      </c>
      <c r="O13">
        <v>25.5</v>
      </c>
      <c r="P13">
        <v>0.5</v>
      </c>
      <c r="Q13">
        <v>1</v>
      </c>
      <c r="AJ13">
        <v>0.739639665</v>
      </c>
      <c r="AL13" t="str">
        <f t="shared" si="0"/>
        <v/>
      </c>
      <c r="AM13" t="str">
        <f t="shared" si="1"/>
        <v/>
      </c>
      <c r="AS13">
        <f t="shared" si="2"/>
        <v>642.88</v>
      </c>
      <c r="AT13">
        <v>0.02</v>
      </c>
      <c r="AU13">
        <v>32144</v>
      </c>
      <c r="AV13">
        <v>144650</v>
      </c>
      <c r="AW13">
        <v>56.65</v>
      </c>
      <c r="AX13">
        <v>2115.3000000000002</v>
      </c>
      <c r="AY13">
        <v>2553.42</v>
      </c>
      <c r="AZ13">
        <f t="shared" si="3"/>
        <v>4668.72</v>
      </c>
      <c r="BA13">
        <v>99</v>
      </c>
      <c r="BB13">
        <v>26</v>
      </c>
      <c r="BC13" s="4"/>
      <c r="BD13" t="str">
        <f t="shared" si="4"/>
        <v/>
      </c>
    </row>
    <row r="14" spans="1:57" x14ac:dyDescent="0.25">
      <c r="A14">
        <v>38</v>
      </c>
      <c r="B14" t="s">
        <v>35</v>
      </c>
      <c r="C14" t="s">
        <v>36</v>
      </c>
      <c r="D14" t="s">
        <v>37</v>
      </c>
      <c r="E14" t="s">
        <v>40</v>
      </c>
      <c r="F14" t="s">
        <v>236</v>
      </c>
      <c r="G14" t="s">
        <v>323</v>
      </c>
      <c r="H14">
        <v>2.2503938610000001</v>
      </c>
      <c r="I14">
        <v>26.524233540000001</v>
      </c>
      <c r="J14">
        <v>26.524233540000001</v>
      </c>
      <c r="M14">
        <v>7.228622562</v>
      </c>
      <c r="N14">
        <v>3</v>
      </c>
      <c r="P14">
        <v>0.5</v>
      </c>
      <c r="Q14">
        <v>1</v>
      </c>
      <c r="AJ14">
        <v>0.84035254100000001</v>
      </c>
      <c r="AL14" t="str">
        <f t="shared" si="0"/>
        <v/>
      </c>
      <c r="AM14" t="str">
        <f t="shared" si="1"/>
        <v/>
      </c>
      <c r="AU14">
        <v>32144</v>
      </c>
      <c r="AV14">
        <v>144650</v>
      </c>
      <c r="AW14">
        <v>56.65</v>
      </c>
      <c r="AX14">
        <v>2115.3000000000002</v>
      </c>
      <c r="AY14">
        <v>2553.42</v>
      </c>
      <c r="AZ14">
        <f t="shared" si="3"/>
        <v>4668.72</v>
      </c>
      <c r="BA14">
        <v>99</v>
      </c>
      <c r="BB14">
        <v>26</v>
      </c>
      <c r="BC14" s="4"/>
      <c r="BD14" t="str">
        <f t="shared" si="4"/>
        <v/>
      </c>
    </row>
    <row r="15" spans="1:57" x14ac:dyDescent="0.25">
      <c r="A15">
        <v>39</v>
      </c>
      <c r="B15" t="s">
        <v>35</v>
      </c>
      <c r="C15" t="s">
        <v>36</v>
      </c>
      <c r="D15" t="s">
        <v>37</v>
      </c>
      <c r="E15" t="s">
        <v>41</v>
      </c>
      <c r="F15" t="s">
        <v>237</v>
      </c>
      <c r="G15" t="s">
        <v>323</v>
      </c>
      <c r="H15">
        <v>1.7681090370000001</v>
      </c>
      <c r="I15">
        <v>25.42</v>
      </c>
      <c r="J15">
        <v>25.42</v>
      </c>
      <c r="M15">
        <v>6.3516223500000004</v>
      </c>
      <c r="N15">
        <v>5</v>
      </c>
      <c r="O15">
        <v>27.5</v>
      </c>
      <c r="P15">
        <v>0.5</v>
      </c>
      <c r="Q15">
        <v>1</v>
      </c>
      <c r="AJ15">
        <v>0.74086665900000004</v>
      </c>
      <c r="AL15" t="str">
        <f t="shared" si="0"/>
        <v/>
      </c>
      <c r="AM15" t="str">
        <f t="shared" si="1"/>
        <v/>
      </c>
      <c r="AU15">
        <v>32144</v>
      </c>
      <c r="AV15">
        <v>144650</v>
      </c>
      <c r="AW15">
        <v>56.65</v>
      </c>
      <c r="AX15">
        <v>2115.3000000000002</v>
      </c>
      <c r="AY15">
        <v>2553.42</v>
      </c>
      <c r="AZ15">
        <f t="shared" si="3"/>
        <v>4668.72</v>
      </c>
      <c r="BA15">
        <v>99</v>
      </c>
      <c r="BB15">
        <v>26</v>
      </c>
      <c r="BC15" s="4"/>
      <c r="BD15" t="str">
        <f t="shared" si="4"/>
        <v/>
      </c>
    </row>
    <row r="16" spans="1:57" x14ac:dyDescent="0.25">
      <c r="A16">
        <v>89</v>
      </c>
      <c r="B16" t="s">
        <v>35</v>
      </c>
      <c r="C16" t="s">
        <v>36</v>
      </c>
      <c r="D16" t="s">
        <v>42</v>
      </c>
      <c r="E16" t="s">
        <v>43</v>
      </c>
      <c r="F16" t="s">
        <v>238</v>
      </c>
      <c r="G16" t="s">
        <v>324</v>
      </c>
      <c r="H16">
        <v>2.2398309900000002</v>
      </c>
      <c r="I16">
        <v>11.19955506</v>
      </c>
      <c r="J16">
        <v>11.19955506</v>
      </c>
      <c r="M16">
        <v>4.819638233</v>
      </c>
      <c r="N16">
        <v>3</v>
      </c>
      <c r="O16">
        <v>20</v>
      </c>
      <c r="P16">
        <v>0.5</v>
      </c>
      <c r="Q16">
        <v>1</v>
      </c>
      <c r="AJ16">
        <v>0.772878599</v>
      </c>
      <c r="AL16">
        <f t="shared" si="0"/>
        <v>25514.494656724371</v>
      </c>
      <c r="AM16">
        <f t="shared" si="1"/>
        <v>0</v>
      </c>
      <c r="AS16">
        <f t="shared" si="2"/>
        <v>257.15199999999999</v>
      </c>
      <c r="AT16">
        <v>8.0000000000000002E-3</v>
      </c>
      <c r="AU16">
        <v>32144</v>
      </c>
      <c r="AV16">
        <v>144650</v>
      </c>
      <c r="AW16">
        <v>56.65</v>
      </c>
      <c r="AX16">
        <v>2115.3000000000002</v>
      </c>
      <c r="AY16">
        <v>2553.42</v>
      </c>
      <c r="AZ16">
        <f t="shared" si="3"/>
        <v>4668.72</v>
      </c>
      <c r="BA16">
        <v>99</v>
      </c>
      <c r="BB16">
        <v>26</v>
      </c>
      <c r="BC16" s="4">
        <v>5.4649871178233798E-2</v>
      </c>
      <c r="BD16">
        <f t="shared" si="4"/>
        <v>5.4649871178233802</v>
      </c>
      <c r="BE16">
        <v>20</v>
      </c>
    </row>
    <row r="17" spans="1:57" x14ac:dyDescent="0.25">
      <c r="A17">
        <v>52</v>
      </c>
      <c r="B17" t="s">
        <v>35</v>
      </c>
      <c r="C17" t="s">
        <v>36</v>
      </c>
      <c r="D17" t="s">
        <v>42</v>
      </c>
      <c r="E17" t="s">
        <v>44</v>
      </c>
      <c r="F17" t="s">
        <v>239</v>
      </c>
      <c r="G17" t="s">
        <v>325</v>
      </c>
      <c r="H17">
        <v>2.0242693460000001</v>
      </c>
      <c r="I17">
        <v>9.8663590590000005</v>
      </c>
      <c r="J17">
        <v>9.8663590590000005</v>
      </c>
      <c r="M17">
        <v>4.1375414299999997</v>
      </c>
      <c r="N17">
        <v>3</v>
      </c>
      <c r="O17">
        <v>16.5</v>
      </c>
      <c r="P17">
        <v>0.5</v>
      </c>
      <c r="Q17">
        <v>1</v>
      </c>
      <c r="AJ17">
        <v>0.72565887699999998</v>
      </c>
      <c r="AL17" t="str">
        <f t="shared" si="0"/>
        <v/>
      </c>
      <c r="AM17" t="str">
        <f t="shared" si="1"/>
        <v/>
      </c>
      <c r="AS17">
        <f t="shared" si="2"/>
        <v>642.88</v>
      </c>
      <c r="AT17">
        <v>0.02</v>
      </c>
      <c r="AU17">
        <v>32144</v>
      </c>
      <c r="AV17">
        <v>144650</v>
      </c>
      <c r="AW17">
        <v>56.65</v>
      </c>
      <c r="AX17">
        <v>2115.3000000000002</v>
      </c>
      <c r="AY17">
        <v>2553.42</v>
      </c>
      <c r="AZ17">
        <f t="shared" si="3"/>
        <v>4668.72</v>
      </c>
      <c r="BA17">
        <v>99</v>
      </c>
      <c r="BB17">
        <v>26</v>
      </c>
      <c r="BC17" s="4"/>
      <c r="BD17" t="str">
        <f t="shared" si="4"/>
        <v/>
      </c>
    </row>
    <row r="18" spans="1:57" x14ac:dyDescent="0.25">
      <c r="A18">
        <v>69</v>
      </c>
      <c r="B18" t="s">
        <v>10</v>
      </c>
      <c r="C18" t="s">
        <v>45</v>
      </c>
      <c r="D18" t="s">
        <v>46</v>
      </c>
      <c r="E18" t="s">
        <v>47</v>
      </c>
      <c r="F18" t="s">
        <v>240</v>
      </c>
      <c r="G18" t="s">
        <v>326</v>
      </c>
      <c r="H18">
        <v>1.389383703</v>
      </c>
      <c r="I18">
        <v>9.8496841479999997</v>
      </c>
      <c r="J18">
        <v>9.8496841479999997</v>
      </c>
      <c r="M18">
        <v>3.3814348760000001</v>
      </c>
      <c r="N18">
        <v>3</v>
      </c>
      <c r="O18">
        <v>19</v>
      </c>
      <c r="P18">
        <v>0.5</v>
      </c>
      <c r="Q18">
        <v>1</v>
      </c>
      <c r="AJ18">
        <v>0.69253677199999997</v>
      </c>
      <c r="AL18">
        <f t="shared" si="0"/>
        <v>103857.0207624522</v>
      </c>
      <c r="AM18">
        <f t="shared" si="1"/>
        <v>1</v>
      </c>
      <c r="AS18">
        <f t="shared" si="2"/>
        <v>2250.0800000000004</v>
      </c>
      <c r="AT18">
        <v>7.0000000000000007E-2</v>
      </c>
      <c r="AU18">
        <v>32144</v>
      </c>
      <c r="AV18">
        <v>144650</v>
      </c>
      <c r="AW18">
        <v>56.65</v>
      </c>
      <c r="AX18">
        <v>2115.3000000000002</v>
      </c>
      <c r="AY18">
        <v>2553.42</v>
      </c>
      <c r="AZ18">
        <f t="shared" si="3"/>
        <v>4668.72</v>
      </c>
      <c r="BA18">
        <v>99</v>
      </c>
      <c r="BB18">
        <v>26</v>
      </c>
      <c r="BC18" s="4">
        <v>0.222452879509699</v>
      </c>
      <c r="BD18">
        <f t="shared" si="4"/>
        <v>22.2452879509699</v>
      </c>
      <c r="BE18">
        <v>83</v>
      </c>
    </row>
    <row r="19" spans="1:57" x14ac:dyDescent="0.25">
      <c r="A19">
        <v>2</v>
      </c>
      <c r="B19" t="s">
        <v>48</v>
      </c>
      <c r="C19" t="s">
        <v>49</v>
      </c>
      <c r="D19" s="1" t="s">
        <v>50</v>
      </c>
      <c r="E19" t="s">
        <v>51</v>
      </c>
      <c r="F19" t="s">
        <v>241</v>
      </c>
      <c r="G19" t="s">
        <v>327</v>
      </c>
      <c r="H19">
        <v>1.674493416</v>
      </c>
      <c r="I19">
        <v>23.448292739999999</v>
      </c>
      <c r="J19">
        <v>23.448292739999999</v>
      </c>
      <c r="M19">
        <v>6.0051877259999999</v>
      </c>
      <c r="N19">
        <v>2.5</v>
      </c>
      <c r="O19">
        <v>28</v>
      </c>
      <c r="P19">
        <v>0.5</v>
      </c>
      <c r="Q19">
        <v>1</v>
      </c>
      <c r="AJ19">
        <v>0.82249269999999997</v>
      </c>
      <c r="AL19" t="str">
        <f t="shared" si="0"/>
        <v/>
      </c>
      <c r="AM19" t="str">
        <f t="shared" si="1"/>
        <v/>
      </c>
      <c r="AS19">
        <f t="shared" si="2"/>
        <v>64.287999999999997</v>
      </c>
      <c r="AT19">
        <v>2E-3</v>
      </c>
      <c r="AU19">
        <v>32144</v>
      </c>
      <c r="AV19">
        <v>144650</v>
      </c>
      <c r="AW19">
        <v>56.65</v>
      </c>
      <c r="AX19">
        <v>2115.3000000000002</v>
      </c>
      <c r="AY19">
        <v>2553.42</v>
      </c>
      <c r="AZ19">
        <f t="shared" si="3"/>
        <v>4668.72</v>
      </c>
      <c r="BA19">
        <v>99</v>
      </c>
      <c r="BB19">
        <v>26</v>
      </c>
      <c r="BC19" s="4"/>
      <c r="BD19" t="str">
        <f t="shared" si="4"/>
        <v/>
      </c>
    </row>
    <row r="20" spans="1:57" x14ac:dyDescent="0.25">
      <c r="A20">
        <v>28</v>
      </c>
      <c r="B20" t="s">
        <v>48</v>
      </c>
      <c r="C20" t="s">
        <v>49</v>
      </c>
      <c r="D20" t="s">
        <v>50</v>
      </c>
      <c r="E20" t="s">
        <v>52</v>
      </c>
      <c r="F20" t="s">
        <v>242</v>
      </c>
      <c r="G20" t="s">
        <v>328</v>
      </c>
      <c r="H20">
        <v>1.169975349</v>
      </c>
      <c r="I20">
        <v>20.726587299999998</v>
      </c>
      <c r="J20">
        <v>20.726587299999998</v>
      </c>
      <c r="M20">
        <v>4.5757967290000003</v>
      </c>
      <c r="N20">
        <v>2.5</v>
      </c>
      <c r="P20">
        <v>0.5</v>
      </c>
      <c r="Q20">
        <v>1</v>
      </c>
      <c r="AJ20">
        <v>0.77855907199999996</v>
      </c>
      <c r="AL20">
        <f t="shared" si="0"/>
        <v>7415.784913015942</v>
      </c>
      <c r="AM20">
        <f t="shared" si="1"/>
        <v>0</v>
      </c>
      <c r="AS20">
        <f t="shared" si="2"/>
        <v>64.287999999999997</v>
      </c>
      <c r="AT20">
        <v>2E-3</v>
      </c>
      <c r="AU20">
        <v>32144</v>
      </c>
      <c r="AV20">
        <v>144650</v>
      </c>
      <c r="AW20">
        <v>56.65</v>
      </c>
      <c r="AX20">
        <v>2115.3000000000002</v>
      </c>
      <c r="AY20">
        <v>2553.42</v>
      </c>
      <c r="AZ20">
        <f t="shared" si="3"/>
        <v>4668.72</v>
      </c>
      <c r="BA20">
        <v>99</v>
      </c>
      <c r="BB20">
        <v>26</v>
      </c>
      <c r="BC20" s="4">
        <v>1.5883978720111599E-2</v>
      </c>
      <c r="BD20">
        <f t="shared" si="4"/>
        <v>1.5883978720111598</v>
      </c>
      <c r="BE20">
        <v>6</v>
      </c>
    </row>
    <row r="21" spans="1:57" x14ac:dyDescent="0.25">
      <c r="A21">
        <v>14</v>
      </c>
      <c r="B21" t="s">
        <v>53</v>
      </c>
      <c r="C21" t="s">
        <v>54</v>
      </c>
      <c r="D21" t="s">
        <v>55</v>
      </c>
      <c r="E21" t="s">
        <v>56</v>
      </c>
      <c r="F21" t="s">
        <v>243</v>
      </c>
      <c r="G21" t="s">
        <v>329</v>
      </c>
      <c r="H21">
        <v>2.0289435610000002</v>
      </c>
      <c r="I21">
        <v>13.737322819999999</v>
      </c>
      <c r="J21">
        <v>13.737322819999999</v>
      </c>
      <c r="M21">
        <v>5.4051352680000004</v>
      </c>
      <c r="N21">
        <v>1.5</v>
      </c>
      <c r="O21">
        <v>24</v>
      </c>
      <c r="P21">
        <v>0.5</v>
      </c>
      <c r="Q21">
        <v>1</v>
      </c>
      <c r="AJ21">
        <v>0.81089319599999998</v>
      </c>
      <c r="AL21">
        <f t="shared" si="0"/>
        <v>84354.0410428467</v>
      </c>
      <c r="AM21">
        <f t="shared" si="1"/>
        <v>1</v>
      </c>
      <c r="AS21">
        <f t="shared" si="2"/>
        <v>964.31999999999994</v>
      </c>
      <c r="AT21">
        <v>0.03</v>
      </c>
      <c r="AU21">
        <v>32144</v>
      </c>
      <c r="AV21">
        <v>144650</v>
      </c>
      <c r="AW21">
        <v>56.65</v>
      </c>
      <c r="AX21">
        <v>2115.3000000000002</v>
      </c>
      <c r="AY21">
        <v>2553.42</v>
      </c>
      <c r="AZ21">
        <f t="shared" si="3"/>
        <v>4668.72</v>
      </c>
      <c r="BA21">
        <v>99</v>
      </c>
      <c r="BB21">
        <v>26</v>
      </c>
      <c r="BC21" s="4">
        <v>0.18067916054688801</v>
      </c>
      <c r="BD21">
        <f t="shared" si="4"/>
        <v>18.067916054688801</v>
      </c>
      <c r="BE21">
        <v>58</v>
      </c>
    </row>
    <row r="22" spans="1:57" x14ac:dyDescent="0.25">
      <c r="A22">
        <v>31</v>
      </c>
      <c r="B22" t="s">
        <v>35</v>
      </c>
      <c r="C22" t="s">
        <v>36</v>
      </c>
      <c r="D22" t="s">
        <v>57</v>
      </c>
      <c r="E22" t="s">
        <v>58</v>
      </c>
      <c r="F22" t="s">
        <v>244</v>
      </c>
      <c r="G22" t="s">
        <v>330</v>
      </c>
      <c r="H22">
        <v>2</v>
      </c>
      <c r="I22">
        <v>23</v>
      </c>
      <c r="J22">
        <v>23</v>
      </c>
      <c r="M22">
        <v>6.0696018650000001</v>
      </c>
      <c r="N22">
        <v>3.75</v>
      </c>
      <c r="O22">
        <v>22.75</v>
      </c>
      <c r="P22">
        <v>0.5</v>
      </c>
      <c r="Q22">
        <v>1</v>
      </c>
      <c r="AJ22">
        <v>0.75</v>
      </c>
      <c r="AL22">
        <f t="shared" si="0"/>
        <v>371037.45354964695</v>
      </c>
      <c r="AM22">
        <f t="shared" si="1"/>
        <v>1</v>
      </c>
      <c r="AS22">
        <f t="shared" si="2"/>
        <v>642.88</v>
      </c>
      <c r="AT22">
        <v>0.02</v>
      </c>
      <c r="AU22">
        <v>32144</v>
      </c>
      <c r="AV22">
        <v>144650</v>
      </c>
      <c r="AW22">
        <v>56.65</v>
      </c>
      <c r="AX22">
        <v>2115.3000000000002</v>
      </c>
      <c r="AY22">
        <v>2553.42</v>
      </c>
      <c r="AZ22">
        <f t="shared" si="3"/>
        <v>4668.72</v>
      </c>
      <c r="BA22">
        <v>99</v>
      </c>
      <c r="BB22">
        <v>26</v>
      </c>
      <c r="BC22" s="4">
        <v>0.79473057615287901</v>
      </c>
      <c r="BD22">
        <f t="shared" si="4"/>
        <v>79.4730576152879</v>
      </c>
      <c r="BE22">
        <v>39</v>
      </c>
    </row>
    <row r="23" spans="1:57" x14ac:dyDescent="0.25">
      <c r="A23">
        <v>16</v>
      </c>
      <c r="B23" t="s">
        <v>4</v>
      </c>
      <c r="C23" t="s">
        <v>5</v>
      </c>
      <c r="D23" t="s">
        <v>59</v>
      </c>
      <c r="E23" t="s">
        <v>60</v>
      </c>
      <c r="F23" t="s">
        <v>245</v>
      </c>
      <c r="G23" t="s">
        <v>331</v>
      </c>
      <c r="H23">
        <v>2.2609320099999999</v>
      </c>
      <c r="I23">
        <v>16.626891799999999</v>
      </c>
      <c r="J23">
        <v>16.626891799999999</v>
      </c>
      <c r="M23">
        <v>6.4101148419999996</v>
      </c>
      <c r="N23">
        <v>2</v>
      </c>
      <c r="O23">
        <v>35.5</v>
      </c>
      <c r="P23">
        <v>0.5</v>
      </c>
      <c r="Q23">
        <v>1</v>
      </c>
      <c r="AJ23">
        <v>0.83698772200000005</v>
      </c>
      <c r="AL23">
        <f t="shared" si="0"/>
        <v>8690.6621592148749</v>
      </c>
      <c r="AM23">
        <f t="shared" si="1"/>
        <v>0</v>
      </c>
      <c r="AS23">
        <f t="shared" si="2"/>
        <v>160.72</v>
      </c>
      <c r="AT23">
        <v>5.0000000000000001E-3</v>
      </c>
      <c r="AU23">
        <v>32144</v>
      </c>
      <c r="AV23">
        <v>144650</v>
      </c>
      <c r="AW23">
        <v>56.65</v>
      </c>
      <c r="AX23">
        <v>2115.3000000000002</v>
      </c>
      <c r="AY23">
        <v>2553.42</v>
      </c>
      <c r="AZ23">
        <f t="shared" si="3"/>
        <v>4668.72</v>
      </c>
      <c r="BA23">
        <v>99</v>
      </c>
      <c r="BB23">
        <v>26</v>
      </c>
      <c r="BC23" s="4">
        <v>1.8614657034936501E-2</v>
      </c>
      <c r="BD23">
        <f t="shared" si="4"/>
        <v>1.8614657034936501</v>
      </c>
      <c r="BE23">
        <v>16</v>
      </c>
    </row>
    <row r="24" spans="1:57" x14ac:dyDescent="0.25">
      <c r="A24">
        <v>12</v>
      </c>
      <c r="B24" t="s">
        <v>61</v>
      </c>
      <c r="C24" t="s">
        <v>62</v>
      </c>
      <c r="D24" t="s">
        <v>63</v>
      </c>
      <c r="E24" t="s">
        <v>64</v>
      </c>
      <c r="F24" t="s">
        <v>246</v>
      </c>
      <c r="G24" t="s">
        <v>332</v>
      </c>
      <c r="H24">
        <v>1.015846816</v>
      </c>
      <c r="I24">
        <v>10.13721353</v>
      </c>
      <c r="J24">
        <v>10.13721353</v>
      </c>
      <c r="M24">
        <v>2.9995248129999998</v>
      </c>
      <c r="N24">
        <v>2</v>
      </c>
      <c r="P24">
        <v>0.5</v>
      </c>
      <c r="Q24">
        <v>1</v>
      </c>
      <c r="AJ24">
        <v>0.69128906400000001</v>
      </c>
      <c r="AL24">
        <f t="shared" si="0"/>
        <v>30949.970234263827</v>
      </c>
      <c r="AM24">
        <f t="shared" si="1"/>
        <v>0</v>
      </c>
      <c r="AS24">
        <f t="shared" si="2"/>
        <v>321.44</v>
      </c>
      <c r="AT24">
        <v>0.01</v>
      </c>
      <c r="AU24">
        <v>32144</v>
      </c>
      <c r="AV24">
        <v>144650</v>
      </c>
      <c r="AW24">
        <v>56.65</v>
      </c>
      <c r="AX24">
        <v>2115.3000000000002</v>
      </c>
      <c r="AY24">
        <v>2553.42</v>
      </c>
      <c r="AZ24">
        <f t="shared" si="3"/>
        <v>4668.72</v>
      </c>
      <c r="BA24">
        <v>99</v>
      </c>
      <c r="BB24">
        <v>26</v>
      </c>
      <c r="BC24" s="4">
        <v>6.6292196221370794E-2</v>
      </c>
      <c r="BD24">
        <f t="shared" si="4"/>
        <v>6.6292196221370796</v>
      </c>
      <c r="BE24">
        <v>18</v>
      </c>
    </row>
    <row r="25" spans="1:57" x14ac:dyDescent="0.25">
      <c r="A25">
        <v>27</v>
      </c>
      <c r="B25" t="s">
        <v>10</v>
      </c>
      <c r="C25" t="s">
        <v>65</v>
      </c>
      <c r="D25" t="s">
        <v>66</v>
      </c>
      <c r="E25" t="s">
        <v>67</v>
      </c>
      <c r="F25" t="s">
        <v>247</v>
      </c>
      <c r="G25" t="s">
        <v>333</v>
      </c>
      <c r="H25">
        <v>1.144208007</v>
      </c>
      <c r="I25">
        <v>9.9700100900000006</v>
      </c>
      <c r="J25">
        <v>9.9700100900000006</v>
      </c>
      <c r="M25">
        <v>2.5343933760000001</v>
      </c>
      <c r="N25">
        <v>1</v>
      </c>
      <c r="P25">
        <v>0.5</v>
      </c>
      <c r="Q25">
        <v>1</v>
      </c>
      <c r="AJ25">
        <v>0.59049930900000003</v>
      </c>
      <c r="AL25">
        <f t="shared" si="0"/>
        <v>168728.11796841654</v>
      </c>
      <c r="AM25">
        <f t="shared" si="1"/>
        <v>1</v>
      </c>
      <c r="AS25">
        <f t="shared" si="2"/>
        <v>1285.76</v>
      </c>
      <c r="AT25">
        <v>0.04</v>
      </c>
      <c r="AU25">
        <v>32144</v>
      </c>
      <c r="AV25">
        <v>144650</v>
      </c>
      <c r="AW25">
        <v>56.65</v>
      </c>
      <c r="AX25">
        <v>2115.3000000000002</v>
      </c>
      <c r="AY25">
        <v>2553.42</v>
      </c>
      <c r="AZ25">
        <f t="shared" si="3"/>
        <v>4668.72</v>
      </c>
      <c r="BA25">
        <v>99</v>
      </c>
      <c r="BB25">
        <v>26</v>
      </c>
      <c r="BC25" s="4">
        <v>0.36140123624551601</v>
      </c>
      <c r="BD25">
        <f t="shared" si="4"/>
        <v>36.140123624551599</v>
      </c>
      <c r="BE25">
        <v>98</v>
      </c>
    </row>
    <row r="26" spans="1:57" x14ac:dyDescent="0.25">
      <c r="A26">
        <v>47</v>
      </c>
      <c r="B26" t="s">
        <v>68</v>
      </c>
      <c r="C26" t="s">
        <v>69</v>
      </c>
      <c r="D26" t="s">
        <v>70</v>
      </c>
      <c r="E26" t="s">
        <v>71</v>
      </c>
      <c r="F26" t="s">
        <v>248</v>
      </c>
      <c r="G26" t="s">
        <v>334</v>
      </c>
      <c r="H26">
        <v>1.8040024750000001</v>
      </c>
      <c r="I26">
        <v>9.9940557949999995</v>
      </c>
      <c r="J26">
        <v>9.9940557949999995</v>
      </c>
      <c r="M26">
        <v>4.2904721810000002</v>
      </c>
      <c r="N26">
        <v>2.5</v>
      </c>
      <c r="O26">
        <v>15</v>
      </c>
      <c r="P26">
        <v>0.5</v>
      </c>
      <c r="Q26">
        <v>1</v>
      </c>
      <c r="AJ26">
        <v>0.78265246399999999</v>
      </c>
      <c r="AL26">
        <f t="shared" si="0"/>
        <v>14714.310557302984</v>
      </c>
      <c r="AM26">
        <f t="shared" si="1"/>
        <v>1</v>
      </c>
      <c r="AS26">
        <f t="shared" si="2"/>
        <v>48.216000000000001</v>
      </c>
      <c r="AT26">
        <v>1.5E-3</v>
      </c>
      <c r="AU26">
        <v>32144</v>
      </c>
      <c r="AV26">
        <v>144650</v>
      </c>
      <c r="AW26">
        <v>56.65</v>
      </c>
      <c r="AX26">
        <v>2115.3000000000002</v>
      </c>
      <c r="AY26">
        <v>2553.42</v>
      </c>
      <c r="AZ26">
        <f t="shared" si="3"/>
        <v>4668.72</v>
      </c>
      <c r="BA26">
        <v>99</v>
      </c>
      <c r="BB26">
        <v>26</v>
      </c>
      <c r="BC26" s="4">
        <v>3.1516798088775902E-2</v>
      </c>
      <c r="BD26">
        <f t="shared" si="4"/>
        <v>3.1516798088775904</v>
      </c>
      <c r="BE26">
        <v>143</v>
      </c>
    </row>
    <row r="27" spans="1:57" x14ac:dyDescent="0.25">
      <c r="A27">
        <v>59</v>
      </c>
      <c r="B27" t="s">
        <v>10</v>
      </c>
      <c r="C27" t="s">
        <v>72</v>
      </c>
      <c r="D27" t="s">
        <v>73</v>
      </c>
      <c r="E27" t="s">
        <v>74</v>
      </c>
      <c r="F27" t="s">
        <v>249</v>
      </c>
      <c r="G27" t="s">
        <v>335</v>
      </c>
      <c r="H27">
        <v>1.144208007</v>
      </c>
      <c r="I27">
        <v>10.69166667</v>
      </c>
      <c r="J27">
        <v>10.69166667</v>
      </c>
      <c r="M27">
        <v>2.6893604249999998</v>
      </c>
      <c r="N27">
        <v>1</v>
      </c>
      <c r="P27">
        <v>0.5</v>
      </c>
      <c r="Q27">
        <v>1</v>
      </c>
      <c r="AJ27">
        <v>0.61506249999999996</v>
      </c>
      <c r="AL27">
        <f t="shared" si="0"/>
        <v>721541.77934413112</v>
      </c>
      <c r="AM27">
        <f t="shared" si="1"/>
        <v>1</v>
      </c>
      <c r="AS27">
        <f t="shared" si="2"/>
        <v>17036.32</v>
      </c>
      <c r="AT27">
        <v>0.53</v>
      </c>
      <c r="AU27">
        <v>32144</v>
      </c>
      <c r="AV27">
        <v>144650</v>
      </c>
      <c r="AW27">
        <v>56.65</v>
      </c>
      <c r="AX27">
        <v>2115.3000000000002</v>
      </c>
      <c r="AY27">
        <v>2553.42</v>
      </c>
      <c r="AZ27">
        <f t="shared" si="3"/>
        <v>4668.72</v>
      </c>
      <c r="BA27">
        <v>99</v>
      </c>
      <c r="BB27">
        <v>26</v>
      </c>
      <c r="BC27" s="4">
        <v>1.5454809441220101</v>
      </c>
      <c r="BD27">
        <f t="shared" si="4"/>
        <v>154.54809441220101</v>
      </c>
      <c r="BE27">
        <v>172</v>
      </c>
    </row>
    <row r="28" spans="1:57" x14ac:dyDescent="0.25">
      <c r="A28">
        <v>58</v>
      </c>
      <c r="B28" t="s">
        <v>10</v>
      </c>
      <c r="C28" t="s">
        <v>72</v>
      </c>
      <c r="D28" t="s">
        <v>73</v>
      </c>
      <c r="E28" t="s">
        <v>75</v>
      </c>
      <c r="F28" t="s">
        <v>250</v>
      </c>
      <c r="G28" t="s">
        <v>336</v>
      </c>
      <c r="H28">
        <v>1.011374115</v>
      </c>
      <c r="I28">
        <v>11.601402500000001</v>
      </c>
      <c r="J28">
        <v>11.601402500000001</v>
      </c>
      <c r="M28">
        <v>2.965836581</v>
      </c>
      <c r="N28">
        <v>2</v>
      </c>
      <c r="O28">
        <v>14</v>
      </c>
      <c r="P28">
        <v>0.5</v>
      </c>
      <c r="Q28">
        <v>1</v>
      </c>
      <c r="AJ28">
        <v>0.67311523299999998</v>
      </c>
      <c r="AL28">
        <f t="shared" si="0"/>
        <v>128501.35322044037</v>
      </c>
      <c r="AM28">
        <f t="shared" si="1"/>
        <v>1</v>
      </c>
      <c r="AS28">
        <f t="shared" si="2"/>
        <v>33108.32</v>
      </c>
      <c r="AT28">
        <v>1.03</v>
      </c>
      <c r="AU28">
        <v>32144</v>
      </c>
      <c r="AV28">
        <v>144650</v>
      </c>
      <c r="AW28">
        <v>56.65</v>
      </c>
      <c r="AX28">
        <v>2115.3000000000002</v>
      </c>
      <c r="AY28">
        <v>2553.42</v>
      </c>
      <c r="AZ28">
        <f t="shared" si="3"/>
        <v>4668.72</v>
      </c>
      <c r="BA28">
        <v>99</v>
      </c>
      <c r="BB28">
        <v>26</v>
      </c>
      <c r="BC28" s="4">
        <v>0.27523893748273698</v>
      </c>
      <c r="BD28">
        <f t="shared" si="4"/>
        <v>27.523893748273697</v>
      </c>
      <c r="BE28">
        <v>119</v>
      </c>
    </row>
    <row r="29" spans="1:57" x14ac:dyDescent="0.25">
      <c r="A29">
        <v>11</v>
      </c>
      <c r="B29" t="s">
        <v>10</v>
      </c>
      <c r="C29" t="s">
        <v>76</v>
      </c>
      <c r="D29" t="s">
        <v>77</v>
      </c>
      <c r="E29" t="s">
        <v>78</v>
      </c>
      <c r="F29" t="s">
        <v>251</v>
      </c>
      <c r="G29" t="s">
        <v>337</v>
      </c>
      <c r="H29">
        <v>0.99756024700000001</v>
      </c>
      <c r="I29">
        <v>7.3220190760000001</v>
      </c>
      <c r="J29">
        <v>7.3220190760000001</v>
      </c>
      <c r="M29">
        <v>2.1076455030000001</v>
      </c>
      <c r="N29">
        <v>4</v>
      </c>
      <c r="P29">
        <v>0.5</v>
      </c>
      <c r="Q29">
        <v>1</v>
      </c>
      <c r="AJ29">
        <v>0.54889177899999997</v>
      </c>
      <c r="AL29">
        <f t="shared" si="0"/>
        <v>73464.342303912694</v>
      </c>
      <c r="AM29">
        <f t="shared" si="1"/>
        <v>0</v>
      </c>
      <c r="AS29">
        <f t="shared" si="2"/>
        <v>0</v>
      </c>
      <c r="AT29">
        <v>0</v>
      </c>
      <c r="AU29">
        <v>32144</v>
      </c>
      <c r="AV29">
        <v>144650</v>
      </c>
      <c r="AW29">
        <v>56.65</v>
      </c>
      <c r="AX29">
        <v>2115.3000000000002</v>
      </c>
      <c r="AY29">
        <v>2553.42</v>
      </c>
      <c r="AZ29">
        <f t="shared" si="3"/>
        <v>4668.72</v>
      </c>
      <c r="BA29">
        <v>99</v>
      </c>
      <c r="BB29">
        <v>26</v>
      </c>
      <c r="BC29" s="4">
        <v>0.15735435473515799</v>
      </c>
      <c r="BD29">
        <f t="shared" si="4"/>
        <v>15.7354354735158</v>
      </c>
      <c r="BE29">
        <v>8</v>
      </c>
    </row>
    <row r="30" spans="1:57" x14ac:dyDescent="0.25">
      <c r="A30">
        <v>4</v>
      </c>
      <c r="B30" t="s">
        <v>10</v>
      </c>
      <c r="C30" t="s">
        <v>79</v>
      </c>
      <c r="D30" t="s">
        <v>80</v>
      </c>
      <c r="E30" t="s">
        <v>81</v>
      </c>
      <c r="F30" t="s">
        <v>252</v>
      </c>
      <c r="G30" t="s">
        <v>338</v>
      </c>
      <c r="H30">
        <v>1.144208007</v>
      </c>
      <c r="I30">
        <v>8</v>
      </c>
      <c r="J30">
        <v>8</v>
      </c>
      <c r="M30">
        <v>2.466169882</v>
      </c>
      <c r="N30">
        <v>3</v>
      </c>
      <c r="O30">
        <v>13</v>
      </c>
      <c r="P30">
        <v>0.5</v>
      </c>
      <c r="Q30">
        <v>1</v>
      </c>
      <c r="AJ30">
        <v>0.59049930900000003</v>
      </c>
      <c r="AL30">
        <f t="shared" si="0"/>
        <v>310793.83942564426</v>
      </c>
      <c r="AM30">
        <f t="shared" si="1"/>
        <v>1</v>
      </c>
      <c r="AS30">
        <f t="shared" si="2"/>
        <v>64.287999999999997</v>
      </c>
      <c r="AT30">
        <v>2E-3</v>
      </c>
      <c r="AU30">
        <v>32144</v>
      </c>
      <c r="AV30">
        <v>144650</v>
      </c>
      <c r="AW30">
        <v>56.65</v>
      </c>
      <c r="AX30">
        <v>2115.3000000000002</v>
      </c>
      <c r="AY30">
        <v>2553.42</v>
      </c>
      <c r="AZ30">
        <f t="shared" si="3"/>
        <v>4668.72</v>
      </c>
      <c r="BA30">
        <v>99</v>
      </c>
      <c r="BB30">
        <v>26</v>
      </c>
      <c r="BC30">
        <v>0.66569389345611696</v>
      </c>
      <c r="BD30">
        <f t="shared" si="4"/>
        <v>66.569389345611697</v>
      </c>
      <c r="BE30">
        <v>160</v>
      </c>
    </row>
    <row r="31" spans="1:57" x14ac:dyDescent="0.25">
      <c r="A31">
        <v>10</v>
      </c>
      <c r="B31" t="s">
        <v>14</v>
      </c>
      <c r="C31" t="s">
        <v>82</v>
      </c>
      <c r="D31" t="s">
        <v>83</v>
      </c>
      <c r="E31" t="s">
        <v>84</v>
      </c>
      <c r="F31" t="s">
        <v>253</v>
      </c>
      <c r="G31" t="s">
        <v>339</v>
      </c>
      <c r="H31">
        <v>1.895628987</v>
      </c>
      <c r="I31">
        <v>34.1</v>
      </c>
      <c r="J31">
        <v>34.1</v>
      </c>
      <c r="M31">
        <v>8.1365322409999994</v>
      </c>
      <c r="N31">
        <v>3.5</v>
      </c>
      <c r="O31">
        <v>18</v>
      </c>
      <c r="P31">
        <v>0.5</v>
      </c>
      <c r="Q31">
        <v>1</v>
      </c>
      <c r="AJ31">
        <v>0.74571665200000004</v>
      </c>
      <c r="AL31">
        <f t="shared" si="0"/>
        <v>72530.837860320287</v>
      </c>
      <c r="AM31">
        <f t="shared" si="1"/>
        <v>1</v>
      </c>
      <c r="AS31">
        <f t="shared" si="2"/>
        <v>32786.879999999997</v>
      </c>
      <c r="AT31">
        <v>1.02</v>
      </c>
      <c r="AU31">
        <v>32144</v>
      </c>
      <c r="AV31">
        <v>144650</v>
      </c>
      <c r="AW31">
        <v>56.65</v>
      </c>
      <c r="AX31">
        <v>2115.3000000000002</v>
      </c>
      <c r="AY31">
        <v>2553.42</v>
      </c>
      <c r="AZ31">
        <f t="shared" si="3"/>
        <v>4668.72</v>
      </c>
      <c r="BA31">
        <v>99</v>
      </c>
      <c r="BB31">
        <v>26</v>
      </c>
      <c r="BC31" s="4">
        <v>0.15535486784454899</v>
      </c>
      <c r="BD31">
        <f t="shared" si="4"/>
        <v>15.5354867844549</v>
      </c>
      <c r="BE31">
        <v>84</v>
      </c>
    </row>
    <row r="32" spans="1:57" x14ac:dyDescent="0.25">
      <c r="A32">
        <v>9</v>
      </c>
      <c r="B32" t="s">
        <v>14</v>
      </c>
      <c r="C32" t="s">
        <v>15</v>
      </c>
      <c r="D32" t="s">
        <v>83</v>
      </c>
      <c r="E32" t="s">
        <v>85</v>
      </c>
      <c r="F32" t="s">
        <v>254</v>
      </c>
      <c r="G32" t="s">
        <v>340</v>
      </c>
      <c r="H32">
        <v>2.2366294619999998</v>
      </c>
      <c r="I32">
        <v>53.9</v>
      </c>
      <c r="J32">
        <v>53.9</v>
      </c>
      <c r="M32">
        <v>12.248503230000001</v>
      </c>
      <c r="N32">
        <v>3</v>
      </c>
      <c r="O32">
        <v>47</v>
      </c>
      <c r="P32">
        <v>0.5</v>
      </c>
      <c r="Q32">
        <v>1</v>
      </c>
      <c r="AJ32">
        <v>0.78128987800000005</v>
      </c>
      <c r="AL32">
        <f t="shared" si="0"/>
        <v>167214.44437174848</v>
      </c>
      <c r="AM32">
        <f t="shared" si="1"/>
        <v>1</v>
      </c>
      <c r="AS32">
        <f t="shared" si="2"/>
        <v>15107.679999999998</v>
      </c>
      <c r="AT32">
        <v>0.47</v>
      </c>
      <c r="AU32">
        <v>32144</v>
      </c>
      <c r="AV32">
        <v>144650</v>
      </c>
      <c r="AW32">
        <v>56.65</v>
      </c>
      <c r="AX32">
        <v>2115.3000000000002</v>
      </c>
      <c r="AY32">
        <v>2553.42</v>
      </c>
      <c r="AZ32">
        <f t="shared" si="3"/>
        <v>4668.72</v>
      </c>
      <c r="BA32">
        <v>99</v>
      </c>
      <c r="BB32">
        <v>26</v>
      </c>
      <c r="BC32" s="4">
        <v>0.35815907651722201</v>
      </c>
      <c r="BD32">
        <f t="shared" si="4"/>
        <v>35.815907651722199</v>
      </c>
      <c r="BE32">
        <v>90</v>
      </c>
    </row>
    <row r="33" spans="1:57" x14ac:dyDescent="0.25">
      <c r="A33">
        <v>25</v>
      </c>
      <c r="B33" t="s">
        <v>10</v>
      </c>
      <c r="C33" t="s">
        <v>86</v>
      </c>
      <c r="D33" t="s">
        <v>87</v>
      </c>
      <c r="E33" t="s">
        <v>88</v>
      </c>
      <c r="F33" t="s">
        <v>255</v>
      </c>
      <c r="G33" t="s">
        <v>341</v>
      </c>
      <c r="H33">
        <v>2.2726257350000001</v>
      </c>
      <c r="I33">
        <v>14.462466089999999</v>
      </c>
      <c r="J33">
        <v>14.462466089999999</v>
      </c>
      <c r="M33">
        <v>5.1175576459999998</v>
      </c>
      <c r="N33">
        <v>4</v>
      </c>
      <c r="O33">
        <v>18.5</v>
      </c>
      <c r="P33">
        <v>0.5</v>
      </c>
      <c r="Q33">
        <v>1</v>
      </c>
      <c r="AJ33">
        <v>0.76516571799999999</v>
      </c>
      <c r="AL33">
        <f t="shared" si="0"/>
        <v>92907.52800000002</v>
      </c>
      <c r="AM33">
        <f t="shared" si="1"/>
        <v>0</v>
      </c>
      <c r="AS33">
        <f t="shared" si="2"/>
        <v>96.432000000000002</v>
      </c>
      <c r="AT33">
        <v>3.0000000000000001E-3</v>
      </c>
      <c r="AU33">
        <v>32144</v>
      </c>
      <c r="AV33">
        <v>144650</v>
      </c>
      <c r="AW33">
        <v>56.65</v>
      </c>
      <c r="AX33">
        <v>2115.3000000000002</v>
      </c>
      <c r="AY33">
        <v>2553.42</v>
      </c>
      <c r="AZ33">
        <f t="shared" si="3"/>
        <v>4668.72</v>
      </c>
      <c r="BA33">
        <v>99</v>
      </c>
      <c r="BB33">
        <v>26</v>
      </c>
      <c r="BC33" s="4">
        <v>0.19900000000000001</v>
      </c>
      <c r="BD33">
        <f t="shared" si="4"/>
        <v>19.900000000000002</v>
      </c>
      <c r="BE33">
        <v>3</v>
      </c>
    </row>
    <row r="34" spans="1:57" x14ac:dyDescent="0.25">
      <c r="A34">
        <v>83</v>
      </c>
      <c r="B34" t="s">
        <v>53</v>
      </c>
      <c r="C34" t="s">
        <v>89</v>
      </c>
      <c r="D34" t="s">
        <v>90</v>
      </c>
      <c r="E34" t="s">
        <v>91</v>
      </c>
      <c r="F34" t="s">
        <v>256</v>
      </c>
      <c r="G34" t="s">
        <v>342</v>
      </c>
      <c r="H34">
        <v>1.1084769489999999</v>
      </c>
      <c r="I34">
        <v>8.2273837249999993</v>
      </c>
      <c r="J34">
        <v>8.2273837249999993</v>
      </c>
      <c r="M34">
        <v>2.219887554</v>
      </c>
      <c r="N34">
        <v>4</v>
      </c>
      <c r="P34">
        <v>0.5</v>
      </c>
      <c r="Q34">
        <v>1</v>
      </c>
      <c r="AJ34">
        <v>0.53889921699999999</v>
      </c>
      <c r="AL34">
        <f t="shared" si="0"/>
        <v>34696.475382785859</v>
      </c>
      <c r="AM34">
        <f t="shared" si="1"/>
        <v>0</v>
      </c>
      <c r="AS34">
        <f t="shared" si="2"/>
        <v>0</v>
      </c>
      <c r="AT34">
        <v>0</v>
      </c>
      <c r="AU34">
        <v>32144</v>
      </c>
      <c r="AV34">
        <v>144650</v>
      </c>
      <c r="AW34">
        <v>56.65</v>
      </c>
      <c r="AX34">
        <v>2115.3000000000002</v>
      </c>
      <c r="AY34">
        <v>2553.42</v>
      </c>
      <c r="AZ34">
        <f t="shared" si="3"/>
        <v>4668.72</v>
      </c>
      <c r="BA34">
        <v>99</v>
      </c>
      <c r="BB34">
        <v>26</v>
      </c>
      <c r="BC34" s="4">
        <v>7.4316890674073099E-2</v>
      </c>
      <c r="BD34">
        <f t="shared" si="4"/>
        <v>7.4316890674073104</v>
      </c>
      <c r="BE34">
        <v>21</v>
      </c>
    </row>
    <row r="35" spans="1:57" x14ac:dyDescent="0.25">
      <c r="A35">
        <v>84</v>
      </c>
      <c r="B35" t="s">
        <v>53</v>
      </c>
      <c r="C35" t="s">
        <v>89</v>
      </c>
      <c r="D35" t="s">
        <v>90</v>
      </c>
      <c r="E35" t="s">
        <v>92</v>
      </c>
      <c r="F35" t="s">
        <v>257</v>
      </c>
      <c r="G35" t="s">
        <v>343</v>
      </c>
      <c r="H35">
        <v>1.171941414</v>
      </c>
      <c r="I35">
        <v>8.8998545010000001</v>
      </c>
      <c r="J35">
        <v>8.8998545010000001</v>
      </c>
      <c r="M35">
        <v>2.4882022739999998</v>
      </c>
      <c r="N35">
        <v>4.5</v>
      </c>
      <c r="P35">
        <v>0.5</v>
      </c>
      <c r="Q35">
        <v>1</v>
      </c>
      <c r="AJ35">
        <v>0.58057530499999999</v>
      </c>
      <c r="AL35">
        <f t="shared" si="0"/>
        <v>98843.361858617311</v>
      </c>
      <c r="AM35">
        <f t="shared" si="1"/>
        <v>1</v>
      </c>
      <c r="AS35">
        <f t="shared" si="2"/>
        <v>128.57599999999999</v>
      </c>
      <c r="AT35">
        <v>4.0000000000000001E-3</v>
      </c>
      <c r="AU35">
        <v>32144</v>
      </c>
      <c r="AV35">
        <v>144650</v>
      </c>
      <c r="AW35">
        <v>56.65</v>
      </c>
      <c r="AX35">
        <v>2115.3000000000002</v>
      </c>
      <c r="AY35">
        <v>2553.42</v>
      </c>
      <c r="AZ35">
        <f t="shared" si="3"/>
        <v>4668.72</v>
      </c>
      <c r="BA35">
        <v>99</v>
      </c>
      <c r="BB35">
        <v>26</v>
      </c>
      <c r="BC35" s="4">
        <v>0.21171404980083899</v>
      </c>
      <c r="BD35">
        <f t="shared" si="4"/>
        <v>21.171404980083899</v>
      </c>
      <c r="BE35">
        <v>48</v>
      </c>
    </row>
    <row r="36" spans="1:57" x14ac:dyDescent="0.25">
      <c r="A36">
        <v>30</v>
      </c>
      <c r="B36" t="s">
        <v>93</v>
      </c>
      <c r="C36" t="s">
        <v>94</v>
      </c>
      <c r="D36" t="s">
        <v>95</v>
      </c>
      <c r="E36" t="s">
        <v>96</v>
      </c>
      <c r="F36" t="s">
        <v>258</v>
      </c>
      <c r="G36" t="s">
        <v>344</v>
      </c>
      <c r="H36">
        <v>1.0157466230000001</v>
      </c>
      <c r="I36">
        <v>10.153040300000001</v>
      </c>
      <c r="J36">
        <v>10.153040300000001</v>
      </c>
      <c r="M36">
        <v>2.3145521100000002</v>
      </c>
      <c r="N36">
        <v>6</v>
      </c>
      <c r="O36">
        <v>16</v>
      </c>
      <c r="P36">
        <v>0.5</v>
      </c>
      <c r="Q36">
        <v>1</v>
      </c>
      <c r="AJ36">
        <v>0.55577506700000001</v>
      </c>
      <c r="AL36">
        <f t="shared" si="0"/>
        <v>107700.71729123923</v>
      </c>
      <c r="AM36">
        <f t="shared" si="1"/>
        <v>0</v>
      </c>
      <c r="AS36">
        <f t="shared" si="2"/>
        <v>128.57599999999999</v>
      </c>
      <c r="AT36">
        <v>4.0000000000000001E-3</v>
      </c>
      <c r="AU36">
        <v>32144</v>
      </c>
      <c r="AV36">
        <v>144650</v>
      </c>
      <c r="AW36">
        <v>56.65</v>
      </c>
      <c r="AX36">
        <v>2115.3000000000002</v>
      </c>
      <c r="AY36">
        <v>2553.42</v>
      </c>
      <c r="AZ36">
        <f t="shared" si="3"/>
        <v>4668.72</v>
      </c>
      <c r="BA36">
        <v>99</v>
      </c>
      <c r="BB36">
        <v>26</v>
      </c>
      <c r="BC36" s="4">
        <v>0.23068574960854199</v>
      </c>
      <c r="BD36">
        <f t="shared" si="4"/>
        <v>23.0685749608542</v>
      </c>
      <c r="BE36">
        <v>25</v>
      </c>
    </row>
    <row r="37" spans="1:57" x14ac:dyDescent="0.25">
      <c r="A37">
        <v>44</v>
      </c>
      <c r="B37" s="2" t="s">
        <v>68</v>
      </c>
      <c r="C37" s="2" t="s">
        <v>69</v>
      </c>
      <c r="D37" s="3" t="s">
        <v>97</v>
      </c>
      <c r="E37" s="2" t="s">
        <v>98</v>
      </c>
      <c r="F37" t="s">
        <v>259</v>
      </c>
      <c r="G37" t="s">
        <v>345</v>
      </c>
      <c r="H37">
        <v>2.2272340210000001</v>
      </c>
      <c r="I37">
        <v>14.938932830000001</v>
      </c>
      <c r="J37">
        <v>14.938932830000001</v>
      </c>
      <c r="M37">
        <v>6.0736046269999999</v>
      </c>
      <c r="N37">
        <v>1</v>
      </c>
      <c r="O37">
        <v>13</v>
      </c>
      <c r="P37">
        <v>0.5</v>
      </c>
      <c r="Q37">
        <v>1</v>
      </c>
      <c r="AJ37">
        <v>0.83532670099999995</v>
      </c>
      <c r="AL37">
        <f t="shared" si="0"/>
        <v>54064.269853779675</v>
      </c>
      <c r="AM37">
        <f t="shared" si="1"/>
        <v>1</v>
      </c>
      <c r="AS37">
        <f t="shared" si="2"/>
        <v>964.31999999999994</v>
      </c>
      <c r="AT37">
        <v>0.03</v>
      </c>
      <c r="AU37">
        <v>32144</v>
      </c>
      <c r="AV37">
        <v>144650</v>
      </c>
      <c r="AW37">
        <v>56.65</v>
      </c>
      <c r="AX37">
        <v>2115.3000000000002</v>
      </c>
      <c r="AY37">
        <v>2553.42</v>
      </c>
      <c r="AZ37">
        <f t="shared" si="3"/>
        <v>4668.72</v>
      </c>
      <c r="BA37">
        <v>99</v>
      </c>
      <c r="BB37">
        <v>26</v>
      </c>
      <c r="BC37" s="4">
        <v>0.115801054365607</v>
      </c>
      <c r="BD37">
        <f t="shared" si="4"/>
        <v>11.5801054365607</v>
      </c>
      <c r="BE37">
        <v>117</v>
      </c>
    </row>
    <row r="38" spans="1:57" x14ac:dyDescent="0.25">
      <c r="A38">
        <v>73</v>
      </c>
      <c r="B38" t="s">
        <v>68</v>
      </c>
      <c r="C38" t="s">
        <v>69</v>
      </c>
      <c r="D38" t="s">
        <v>97</v>
      </c>
      <c r="E38" t="s">
        <v>99</v>
      </c>
      <c r="F38" t="s">
        <v>260</v>
      </c>
      <c r="G38" t="s">
        <v>346</v>
      </c>
      <c r="H38">
        <v>1.8654570429999999</v>
      </c>
      <c r="I38">
        <v>12.791991039999999</v>
      </c>
      <c r="J38">
        <v>12.791991039999999</v>
      </c>
      <c r="M38">
        <v>4.8316247810000004</v>
      </c>
      <c r="N38">
        <v>2</v>
      </c>
      <c r="O38">
        <v>14</v>
      </c>
      <c r="P38">
        <v>0.5</v>
      </c>
      <c r="Q38">
        <v>1</v>
      </c>
      <c r="AJ38">
        <v>0.785975376</v>
      </c>
      <c r="AL38">
        <f t="shared" si="0"/>
        <v>29886.967408436441</v>
      </c>
      <c r="AM38">
        <f t="shared" si="1"/>
        <v>1</v>
      </c>
      <c r="AS38">
        <f t="shared" si="2"/>
        <v>642.88</v>
      </c>
      <c r="AT38">
        <v>0.02</v>
      </c>
      <c r="AU38">
        <v>32144</v>
      </c>
      <c r="AV38">
        <v>144650</v>
      </c>
      <c r="AW38">
        <v>56.65</v>
      </c>
      <c r="AX38">
        <v>2115.3000000000002</v>
      </c>
      <c r="AY38">
        <v>2553.42</v>
      </c>
      <c r="AZ38">
        <f t="shared" si="3"/>
        <v>4668.72</v>
      </c>
      <c r="BA38">
        <v>99</v>
      </c>
      <c r="BB38">
        <v>26</v>
      </c>
      <c r="BC38" s="4">
        <v>6.40153348421761E-2</v>
      </c>
      <c r="BD38">
        <f t="shared" si="4"/>
        <v>6.4015334842176097</v>
      </c>
      <c r="BE38">
        <v>42</v>
      </c>
    </row>
    <row r="39" spans="1:57" x14ac:dyDescent="0.25">
      <c r="A39">
        <v>35</v>
      </c>
      <c r="B39" t="s">
        <v>68</v>
      </c>
      <c r="C39" t="s">
        <v>69</v>
      </c>
      <c r="D39" t="s">
        <v>97</v>
      </c>
      <c r="E39" t="s">
        <v>100</v>
      </c>
      <c r="F39" t="s">
        <v>261</v>
      </c>
      <c r="G39" t="s">
        <v>347</v>
      </c>
      <c r="H39">
        <v>1.880215124</v>
      </c>
      <c r="I39">
        <v>12.945258259999999</v>
      </c>
      <c r="J39">
        <v>12.945258259999999</v>
      </c>
      <c r="M39">
        <v>4.8658605680000004</v>
      </c>
      <c r="N39">
        <v>2</v>
      </c>
      <c r="P39">
        <v>0.5</v>
      </c>
      <c r="Q39">
        <v>1</v>
      </c>
      <c r="AJ39">
        <v>0.78784166099999997</v>
      </c>
      <c r="AL39">
        <f t="shared" si="0"/>
        <v>13429.757395321909</v>
      </c>
      <c r="AM39">
        <f t="shared" si="1"/>
        <v>0</v>
      </c>
      <c r="AS39">
        <f t="shared" si="2"/>
        <v>964.31999999999994</v>
      </c>
      <c r="AT39">
        <v>0.03</v>
      </c>
      <c r="AU39">
        <v>32144</v>
      </c>
      <c r="AV39">
        <v>144650</v>
      </c>
      <c r="AW39">
        <v>56.65</v>
      </c>
      <c r="AX39">
        <v>2115.3000000000002</v>
      </c>
      <c r="AY39">
        <v>2553.42</v>
      </c>
      <c r="AZ39">
        <f t="shared" si="3"/>
        <v>4668.72</v>
      </c>
      <c r="BA39">
        <v>99</v>
      </c>
      <c r="BB39">
        <v>26</v>
      </c>
      <c r="BC39" s="4">
        <v>2.8765394787697501E-2</v>
      </c>
      <c r="BD39">
        <f t="shared" si="4"/>
        <v>2.8765394787697502</v>
      </c>
      <c r="BE39">
        <v>29</v>
      </c>
    </row>
    <row r="40" spans="1:57" x14ac:dyDescent="0.25">
      <c r="A40">
        <v>36</v>
      </c>
      <c r="B40" t="s">
        <v>68</v>
      </c>
      <c r="C40" t="s">
        <v>69</v>
      </c>
      <c r="D40" t="s">
        <v>97</v>
      </c>
      <c r="E40" t="s">
        <v>101</v>
      </c>
      <c r="F40" t="s">
        <v>262</v>
      </c>
      <c r="G40" t="s">
        <v>348</v>
      </c>
      <c r="H40">
        <v>2.154433091</v>
      </c>
      <c r="I40">
        <v>16.792241260000001</v>
      </c>
      <c r="J40">
        <v>16.792241260000001</v>
      </c>
      <c r="M40">
        <v>5.4607856029999997</v>
      </c>
      <c r="N40">
        <v>2</v>
      </c>
      <c r="P40">
        <v>0.5</v>
      </c>
      <c r="Q40">
        <v>1</v>
      </c>
      <c r="AJ40">
        <v>0.78465226300000002</v>
      </c>
      <c r="AL40">
        <f t="shared" si="0"/>
        <v>177171.35762155577</v>
      </c>
      <c r="AM40">
        <f t="shared" si="1"/>
        <v>1</v>
      </c>
      <c r="AS40">
        <f t="shared" si="2"/>
        <v>642.88</v>
      </c>
      <c r="AT40">
        <v>0.02</v>
      </c>
      <c r="AU40">
        <v>32144</v>
      </c>
      <c r="AV40">
        <v>144650</v>
      </c>
      <c r="AW40">
        <v>56.65</v>
      </c>
      <c r="AX40">
        <v>2115.3000000000002</v>
      </c>
      <c r="AY40">
        <v>2553.42</v>
      </c>
      <c r="AZ40">
        <f t="shared" si="3"/>
        <v>4668.72</v>
      </c>
      <c r="BA40">
        <v>99</v>
      </c>
      <c r="BB40">
        <v>26</v>
      </c>
      <c r="BC40" s="4">
        <v>0.37948593537748199</v>
      </c>
      <c r="BD40">
        <f t="shared" si="4"/>
        <v>37.948593537748195</v>
      </c>
      <c r="BE40">
        <v>98</v>
      </c>
    </row>
    <row r="41" spans="1:57" x14ac:dyDescent="0.25">
      <c r="A41">
        <v>49</v>
      </c>
      <c r="B41" t="s">
        <v>68</v>
      </c>
      <c r="C41" t="s">
        <v>69</v>
      </c>
      <c r="D41" t="s">
        <v>102</v>
      </c>
      <c r="E41" t="s">
        <v>103</v>
      </c>
      <c r="F41" t="s">
        <v>263</v>
      </c>
      <c r="G41" t="s">
        <v>349</v>
      </c>
      <c r="H41">
        <v>0.98267916399999999</v>
      </c>
      <c r="I41">
        <v>10.413509619999999</v>
      </c>
      <c r="J41">
        <v>10.413509619999999</v>
      </c>
      <c r="M41">
        <v>2.9249984599999999</v>
      </c>
      <c r="N41">
        <v>2</v>
      </c>
      <c r="P41">
        <v>0.5</v>
      </c>
      <c r="Q41">
        <v>1</v>
      </c>
      <c r="AJ41">
        <v>0.68507130299999996</v>
      </c>
      <c r="AL41">
        <f t="shared" si="0"/>
        <v>6443.3532025344975</v>
      </c>
      <c r="AM41">
        <f t="shared" si="1"/>
        <v>0</v>
      </c>
      <c r="AS41">
        <f t="shared" si="2"/>
        <v>160.72</v>
      </c>
      <c r="AT41">
        <v>5.0000000000000001E-3</v>
      </c>
      <c r="AU41">
        <v>32144</v>
      </c>
      <c r="AV41">
        <v>144650</v>
      </c>
      <c r="AW41">
        <v>56.65</v>
      </c>
      <c r="AX41">
        <v>2115.3000000000002</v>
      </c>
      <c r="AY41">
        <v>2553.42</v>
      </c>
      <c r="AZ41">
        <f t="shared" si="3"/>
        <v>4668.72</v>
      </c>
      <c r="BA41">
        <v>99</v>
      </c>
      <c r="BB41">
        <v>26</v>
      </c>
      <c r="BC41" s="4">
        <v>1.3801112944307E-2</v>
      </c>
      <c r="BD41">
        <f t="shared" si="4"/>
        <v>1.3801112944306999</v>
      </c>
      <c r="BE41">
        <v>17</v>
      </c>
    </row>
    <row r="42" spans="1:57" x14ac:dyDescent="0.25">
      <c r="A42">
        <v>79</v>
      </c>
      <c r="B42" t="s">
        <v>10</v>
      </c>
      <c r="C42" t="s">
        <v>104</v>
      </c>
      <c r="D42" t="s">
        <v>105</v>
      </c>
      <c r="E42" t="s">
        <v>106</v>
      </c>
      <c r="F42" t="s">
        <v>264</v>
      </c>
      <c r="G42" t="s">
        <v>350</v>
      </c>
      <c r="H42">
        <v>1.144208007</v>
      </c>
      <c r="I42">
        <v>9.9700100900000006</v>
      </c>
      <c r="J42">
        <v>9.9700100900000006</v>
      </c>
      <c r="M42">
        <v>2.5343933760000001</v>
      </c>
      <c r="N42">
        <v>2</v>
      </c>
      <c r="O42">
        <v>16</v>
      </c>
      <c r="P42">
        <v>0.5</v>
      </c>
      <c r="Q42">
        <v>1</v>
      </c>
      <c r="AJ42">
        <v>0.59049930900000003</v>
      </c>
      <c r="AL42" t="str">
        <f t="shared" si="0"/>
        <v/>
      </c>
      <c r="AM42" t="str">
        <f t="shared" si="1"/>
        <v/>
      </c>
      <c r="AS42">
        <f t="shared" si="2"/>
        <v>64.287999999999997</v>
      </c>
      <c r="AT42">
        <v>2E-3</v>
      </c>
      <c r="AU42">
        <v>32144</v>
      </c>
      <c r="AV42">
        <v>144650</v>
      </c>
      <c r="AW42">
        <v>56.65</v>
      </c>
      <c r="AX42">
        <v>2115.3000000000002</v>
      </c>
      <c r="AY42">
        <v>2553.42</v>
      </c>
      <c r="AZ42">
        <f t="shared" si="3"/>
        <v>4668.72</v>
      </c>
      <c r="BA42">
        <v>99</v>
      </c>
      <c r="BB42">
        <v>26</v>
      </c>
      <c r="BC42" s="4"/>
      <c r="BD42" t="str">
        <f t="shared" si="4"/>
        <v/>
      </c>
    </row>
    <row r="43" spans="1:57" x14ac:dyDescent="0.25">
      <c r="A43">
        <v>43</v>
      </c>
      <c r="B43" t="s">
        <v>31</v>
      </c>
      <c r="C43" t="s">
        <v>32</v>
      </c>
      <c r="D43" t="s">
        <v>107</v>
      </c>
      <c r="E43" t="s">
        <v>108</v>
      </c>
      <c r="F43" t="s">
        <v>265</v>
      </c>
      <c r="G43" t="s">
        <v>321</v>
      </c>
      <c r="H43">
        <v>1.122895728</v>
      </c>
      <c r="I43">
        <v>7.4074161790000002</v>
      </c>
      <c r="J43">
        <v>7.4074161790000002</v>
      </c>
      <c r="M43">
        <v>2.5528272730000001</v>
      </c>
      <c r="N43">
        <v>2</v>
      </c>
      <c r="O43">
        <v>20</v>
      </c>
      <c r="P43">
        <v>0.5</v>
      </c>
      <c r="Q43">
        <v>1</v>
      </c>
      <c r="AJ43">
        <v>0.63357205400000005</v>
      </c>
      <c r="AL43" t="str">
        <f t="shared" si="0"/>
        <v/>
      </c>
      <c r="AM43" t="str">
        <f t="shared" si="1"/>
        <v/>
      </c>
      <c r="AS43">
        <f t="shared" si="2"/>
        <v>321.44</v>
      </c>
      <c r="AT43">
        <v>0.01</v>
      </c>
      <c r="AU43">
        <v>32144</v>
      </c>
      <c r="AV43">
        <v>144650</v>
      </c>
      <c r="AW43">
        <v>56.65</v>
      </c>
      <c r="AX43">
        <v>2115.3000000000002</v>
      </c>
      <c r="AY43">
        <v>2553.42</v>
      </c>
      <c r="AZ43">
        <f t="shared" si="3"/>
        <v>4668.72</v>
      </c>
      <c r="BA43">
        <v>99</v>
      </c>
      <c r="BB43">
        <v>26</v>
      </c>
      <c r="BC43" s="4"/>
      <c r="BD43" t="str">
        <f t="shared" si="4"/>
        <v/>
      </c>
    </row>
    <row r="44" spans="1:57" x14ac:dyDescent="0.25">
      <c r="A44">
        <v>72</v>
      </c>
      <c r="B44" t="s">
        <v>22</v>
      </c>
      <c r="C44" t="s">
        <v>23</v>
      </c>
      <c r="D44" t="s">
        <v>109</v>
      </c>
      <c r="E44" t="s">
        <v>110</v>
      </c>
      <c r="F44" t="s">
        <v>266</v>
      </c>
      <c r="G44" t="s">
        <v>351</v>
      </c>
      <c r="H44">
        <v>1.3527185960000001</v>
      </c>
      <c r="I44">
        <v>13.126366279999999</v>
      </c>
      <c r="J44">
        <v>13.126366279999999</v>
      </c>
      <c r="M44">
        <v>3.1495143419999998</v>
      </c>
      <c r="N44">
        <v>7.5</v>
      </c>
      <c r="O44">
        <v>27.5</v>
      </c>
      <c r="P44">
        <v>0.5</v>
      </c>
      <c r="Q44">
        <v>1</v>
      </c>
      <c r="AJ44">
        <v>0.64831187599999995</v>
      </c>
      <c r="AL44">
        <f t="shared" si="0"/>
        <v>73455.15093805558</v>
      </c>
      <c r="AM44">
        <f t="shared" si="1"/>
        <v>0</v>
      </c>
      <c r="AS44">
        <f t="shared" si="2"/>
        <v>1285.76</v>
      </c>
      <c r="AT44">
        <v>0.04</v>
      </c>
      <c r="AU44">
        <v>32144</v>
      </c>
      <c r="AV44">
        <v>144650</v>
      </c>
      <c r="AW44">
        <v>56.65</v>
      </c>
      <c r="AX44">
        <v>2115.3000000000002</v>
      </c>
      <c r="AY44">
        <v>2553.42</v>
      </c>
      <c r="AZ44">
        <f t="shared" si="3"/>
        <v>4668.72</v>
      </c>
      <c r="BA44">
        <v>99</v>
      </c>
      <c r="BB44">
        <v>26</v>
      </c>
      <c r="BC44" s="4">
        <v>0.157334667613512</v>
      </c>
      <c r="BD44">
        <f t="shared" si="4"/>
        <v>15.733466761351201</v>
      </c>
      <c r="BE44">
        <v>5</v>
      </c>
    </row>
    <row r="45" spans="1:57" x14ac:dyDescent="0.25">
      <c r="A45">
        <v>40</v>
      </c>
      <c r="B45" t="s">
        <v>10</v>
      </c>
      <c r="C45" t="s">
        <v>111</v>
      </c>
      <c r="D45" t="s">
        <v>112</v>
      </c>
      <c r="E45" t="s">
        <v>113</v>
      </c>
      <c r="F45" t="s">
        <v>267</v>
      </c>
      <c r="G45" t="s">
        <v>352</v>
      </c>
      <c r="H45">
        <v>1.3797136969999999</v>
      </c>
      <c r="I45">
        <v>7.504627084</v>
      </c>
      <c r="J45">
        <v>7.504627084</v>
      </c>
      <c r="M45">
        <v>3.1744283210000002</v>
      </c>
      <c r="N45">
        <v>3</v>
      </c>
      <c r="P45">
        <v>0.5</v>
      </c>
      <c r="Q45">
        <v>1</v>
      </c>
      <c r="AJ45">
        <v>0.69043233599999998</v>
      </c>
      <c r="AL45">
        <f t="shared" si="0"/>
        <v>97266.164570803507</v>
      </c>
      <c r="AM45">
        <f t="shared" si="1"/>
        <v>1</v>
      </c>
      <c r="AS45">
        <f t="shared" si="2"/>
        <v>64.287999999999997</v>
      </c>
      <c r="AT45">
        <v>2E-3</v>
      </c>
      <c r="AU45">
        <v>32144</v>
      </c>
      <c r="AV45">
        <v>144650</v>
      </c>
      <c r="AW45">
        <v>56.65</v>
      </c>
      <c r="AX45">
        <v>2115.3000000000002</v>
      </c>
      <c r="AY45">
        <v>2553.42</v>
      </c>
      <c r="AZ45">
        <f t="shared" si="3"/>
        <v>4668.72</v>
      </c>
      <c r="BA45">
        <v>99</v>
      </c>
      <c r="BB45">
        <v>26</v>
      </c>
      <c r="BC45" s="4">
        <v>0.208335827744657</v>
      </c>
      <c r="BD45">
        <f t="shared" si="4"/>
        <v>20.8335827744657</v>
      </c>
      <c r="BE45">
        <v>171</v>
      </c>
    </row>
    <row r="46" spans="1:57" x14ac:dyDescent="0.25">
      <c r="A46">
        <v>71</v>
      </c>
      <c r="B46" t="s">
        <v>114</v>
      </c>
      <c r="C46" t="s">
        <v>115</v>
      </c>
      <c r="D46" t="s">
        <v>116</v>
      </c>
      <c r="E46" t="s">
        <v>117</v>
      </c>
      <c r="F46" t="s">
        <v>268</v>
      </c>
      <c r="G46" t="s">
        <v>353</v>
      </c>
      <c r="H46">
        <v>1.9002931409999999</v>
      </c>
      <c r="I46">
        <v>13.65949683</v>
      </c>
      <c r="J46">
        <v>13.65949683</v>
      </c>
      <c r="M46">
        <v>5.0642545590000001</v>
      </c>
      <c r="N46">
        <v>4.5</v>
      </c>
      <c r="P46">
        <v>0.5</v>
      </c>
      <c r="Q46">
        <v>1</v>
      </c>
      <c r="AJ46">
        <v>0.79329200099999997</v>
      </c>
      <c r="AL46">
        <f t="shared" si="0"/>
        <v>129697.2922147924</v>
      </c>
      <c r="AM46">
        <f t="shared" si="1"/>
        <v>1</v>
      </c>
      <c r="AS46">
        <f t="shared" si="2"/>
        <v>1928.6399999999999</v>
      </c>
      <c r="AT46">
        <v>0.06</v>
      </c>
      <c r="AU46">
        <v>32144</v>
      </c>
      <c r="AV46">
        <v>144650</v>
      </c>
      <c r="AW46">
        <v>56.65</v>
      </c>
      <c r="AX46">
        <v>2115.3000000000002</v>
      </c>
      <c r="AY46">
        <v>2553.42</v>
      </c>
      <c r="AZ46">
        <f t="shared" si="3"/>
        <v>4668.72</v>
      </c>
      <c r="BA46">
        <v>99</v>
      </c>
      <c r="BB46">
        <v>26</v>
      </c>
      <c r="BC46" s="4">
        <v>0.27780053679550798</v>
      </c>
      <c r="BD46">
        <f t="shared" si="4"/>
        <v>27.780053679550797</v>
      </c>
      <c r="BE46">
        <v>56</v>
      </c>
    </row>
    <row r="47" spans="1:57" x14ac:dyDescent="0.25">
      <c r="A47">
        <v>41</v>
      </c>
      <c r="B47" t="s">
        <v>35</v>
      </c>
      <c r="C47" t="s">
        <v>36</v>
      </c>
      <c r="D47" t="s">
        <v>118</v>
      </c>
      <c r="E47" t="s">
        <v>119</v>
      </c>
      <c r="F47" t="s">
        <v>269</v>
      </c>
      <c r="G47" t="s">
        <v>354</v>
      </c>
      <c r="H47">
        <v>1.5640199960000001</v>
      </c>
      <c r="I47">
        <v>18.835590360000001</v>
      </c>
      <c r="J47">
        <v>18.835590360000001</v>
      </c>
      <c r="M47">
        <v>4.9110873750000001</v>
      </c>
      <c r="N47">
        <v>3</v>
      </c>
      <c r="P47">
        <v>0.5</v>
      </c>
      <c r="Q47">
        <v>1</v>
      </c>
      <c r="AJ47">
        <v>0.64285267499999998</v>
      </c>
      <c r="AL47">
        <f t="shared" si="0"/>
        <v>46453.76400000001</v>
      </c>
      <c r="AM47">
        <f t="shared" si="1"/>
        <v>0</v>
      </c>
      <c r="AS47">
        <f t="shared" si="2"/>
        <v>964.31999999999994</v>
      </c>
      <c r="AT47">
        <v>0.03</v>
      </c>
      <c r="AU47">
        <v>32144</v>
      </c>
      <c r="AV47">
        <v>144650</v>
      </c>
      <c r="AW47">
        <v>56.65</v>
      </c>
      <c r="AX47">
        <v>2115.3000000000002</v>
      </c>
      <c r="AY47">
        <v>2553.42</v>
      </c>
      <c r="AZ47">
        <f t="shared" si="3"/>
        <v>4668.72</v>
      </c>
      <c r="BA47">
        <v>99</v>
      </c>
      <c r="BB47">
        <v>26</v>
      </c>
      <c r="BC47" s="4">
        <v>9.9500000000000005E-2</v>
      </c>
      <c r="BD47">
        <f t="shared" si="4"/>
        <v>9.9500000000000011</v>
      </c>
      <c r="BE47">
        <v>1</v>
      </c>
    </row>
    <row r="48" spans="1:57" x14ac:dyDescent="0.25">
      <c r="A48">
        <v>57</v>
      </c>
      <c r="B48" t="s">
        <v>10</v>
      </c>
      <c r="C48" t="s">
        <v>45</v>
      </c>
      <c r="D48" t="s">
        <v>120</v>
      </c>
      <c r="E48" t="s">
        <v>121</v>
      </c>
      <c r="F48" t="s">
        <v>270</v>
      </c>
      <c r="G48" t="s">
        <v>355</v>
      </c>
      <c r="H48">
        <v>1.4959043780000001</v>
      </c>
      <c r="I48">
        <v>10.9564608</v>
      </c>
      <c r="J48">
        <v>10.9564608</v>
      </c>
      <c r="M48">
        <v>3.9201566880000001</v>
      </c>
      <c r="N48">
        <v>2.5</v>
      </c>
      <c r="P48">
        <v>0.5</v>
      </c>
      <c r="Q48">
        <v>1</v>
      </c>
      <c r="AJ48">
        <v>0.73929119099999996</v>
      </c>
      <c r="AL48">
        <f t="shared" si="0"/>
        <v>99498.851353826918</v>
      </c>
      <c r="AM48">
        <f t="shared" si="1"/>
        <v>1</v>
      </c>
      <c r="AS48">
        <f t="shared" si="2"/>
        <v>642.88</v>
      </c>
      <c r="AT48">
        <v>0.02</v>
      </c>
      <c r="AU48">
        <v>32144</v>
      </c>
      <c r="AV48">
        <v>144650</v>
      </c>
      <c r="AW48">
        <v>56.65</v>
      </c>
      <c r="AX48">
        <v>2115.3000000000002</v>
      </c>
      <c r="AY48">
        <v>2553.42</v>
      </c>
      <c r="AZ48">
        <f t="shared" si="3"/>
        <v>4668.72</v>
      </c>
      <c r="BA48">
        <v>99</v>
      </c>
      <c r="BB48">
        <v>26</v>
      </c>
      <c r="BC48" s="4">
        <v>0.21311805238657899</v>
      </c>
      <c r="BD48">
        <f t="shared" si="4"/>
        <v>21.3118052386579</v>
      </c>
      <c r="BE48">
        <v>115</v>
      </c>
    </row>
    <row r="49" spans="1:57" x14ac:dyDescent="0.25">
      <c r="A49">
        <v>88</v>
      </c>
      <c r="B49" t="s">
        <v>53</v>
      </c>
      <c r="C49" t="s">
        <v>122</v>
      </c>
      <c r="D49" t="s">
        <v>123</v>
      </c>
      <c r="E49" t="s">
        <v>124</v>
      </c>
      <c r="F49" t="s">
        <v>271</v>
      </c>
      <c r="G49" t="s">
        <v>356</v>
      </c>
      <c r="H49">
        <v>1.6949828579999999</v>
      </c>
      <c r="I49">
        <v>11.04635002</v>
      </c>
      <c r="J49">
        <v>11.04635002</v>
      </c>
      <c r="M49">
        <v>3.9642042659999999</v>
      </c>
      <c r="N49">
        <v>2.5</v>
      </c>
      <c r="P49">
        <v>0.5</v>
      </c>
      <c r="Q49">
        <v>1</v>
      </c>
      <c r="AJ49">
        <v>0.73199605400000001</v>
      </c>
      <c r="AL49">
        <f t="shared" si="0"/>
        <v>32732.665428540931</v>
      </c>
      <c r="AM49">
        <f t="shared" si="1"/>
        <v>0</v>
      </c>
      <c r="AS49">
        <f t="shared" si="2"/>
        <v>321.44</v>
      </c>
      <c r="AT49">
        <v>0.01</v>
      </c>
      <c r="AU49">
        <v>32144</v>
      </c>
      <c r="AV49">
        <v>144650</v>
      </c>
      <c r="AW49">
        <v>56.65</v>
      </c>
      <c r="AX49">
        <v>2115.3000000000002</v>
      </c>
      <c r="AY49">
        <v>2553.42</v>
      </c>
      <c r="AZ49">
        <f t="shared" si="3"/>
        <v>4668.72</v>
      </c>
      <c r="BA49">
        <v>99</v>
      </c>
      <c r="BB49">
        <v>26</v>
      </c>
      <c r="BC49" s="4">
        <v>7.0110577264305696E-2</v>
      </c>
      <c r="BD49">
        <f t="shared" si="4"/>
        <v>7.01105772643057</v>
      </c>
      <c r="BE49">
        <v>21</v>
      </c>
    </row>
    <row r="50" spans="1:57" x14ac:dyDescent="0.25">
      <c r="A50">
        <v>21</v>
      </c>
      <c r="B50" t="s">
        <v>4</v>
      </c>
      <c r="C50" t="s">
        <v>5</v>
      </c>
      <c r="D50" t="s">
        <v>125</v>
      </c>
      <c r="E50" t="s">
        <v>126</v>
      </c>
      <c r="F50" t="s">
        <v>272</v>
      </c>
      <c r="G50" t="s">
        <v>357</v>
      </c>
      <c r="H50">
        <v>3.4716454649999999</v>
      </c>
      <c r="I50">
        <v>23.417006829999998</v>
      </c>
      <c r="J50">
        <v>23.417006829999998</v>
      </c>
      <c r="M50">
        <v>9.2473994479999995</v>
      </c>
      <c r="N50">
        <v>1.5</v>
      </c>
      <c r="O50">
        <v>40</v>
      </c>
      <c r="P50">
        <v>0.5</v>
      </c>
      <c r="Q50">
        <v>1</v>
      </c>
      <c r="AJ50">
        <v>0.87935950699999998</v>
      </c>
      <c r="AL50">
        <f t="shared" si="0"/>
        <v>6910.6117985520004</v>
      </c>
      <c r="AM50">
        <f t="shared" si="1"/>
        <v>0</v>
      </c>
      <c r="AS50">
        <f t="shared" si="2"/>
        <v>25.715200000000003</v>
      </c>
      <c r="AT50">
        <v>8.0000000000000004E-4</v>
      </c>
      <c r="AU50">
        <v>32144</v>
      </c>
      <c r="AV50">
        <v>144650</v>
      </c>
      <c r="AW50">
        <v>56.65</v>
      </c>
      <c r="AX50">
        <v>2115.3000000000002</v>
      </c>
      <c r="AY50">
        <v>2553.42</v>
      </c>
      <c r="AZ50">
        <f t="shared" si="3"/>
        <v>4668.72</v>
      </c>
      <c r="BA50">
        <v>99</v>
      </c>
      <c r="BB50">
        <v>26</v>
      </c>
      <c r="BC50" s="4">
        <v>1.4801941000000001E-2</v>
      </c>
      <c r="BD50">
        <f t="shared" si="4"/>
        <v>1.4801941000000001</v>
      </c>
      <c r="BE50">
        <v>1</v>
      </c>
    </row>
    <row r="51" spans="1:57" x14ac:dyDescent="0.25">
      <c r="A51">
        <v>51</v>
      </c>
      <c r="B51" t="s">
        <v>127</v>
      </c>
      <c r="C51" t="s">
        <v>128</v>
      </c>
      <c r="D51" t="s">
        <v>129</v>
      </c>
      <c r="E51" t="s">
        <v>130</v>
      </c>
      <c r="F51" t="s">
        <v>273</v>
      </c>
      <c r="G51" t="s">
        <v>358</v>
      </c>
      <c r="H51">
        <v>1.20722168</v>
      </c>
      <c r="I51">
        <v>9.2581638030000004</v>
      </c>
      <c r="J51">
        <v>9.2581638030000004</v>
      </c>
      <c r="M51">
        <v>2.8449647649999998</v>
      </c>
      <c r="N51">
        <v>4.5</v>
      </c>
      <c r="O51">
        <v>28</v>
      </c>
      <c r="P51">
        <v>0.5</v>
      </c>
      <c r="Q51">
        <v>1</v>
      </c>
      <c r="AJ51">
        <v>0.644659855</v>
      </c>
      <c r="AL51">
        <f t="shared" si="0"/>
        <v>15613.015833838332</v>
      </c>
      <c r="AM51">
        <f t="shared" si="1"/>
        <v>0</v>
      </c>
      <c r="AS51">
        <f t="shared" si="2"/>
        <v>64.287999999999997</v>
      </c>
      <c r="AT51">
        <v>2E-3</v>
      </c>
      <c r="AU51">
        <v>32144</v>
      </c>
      <c r="AV51">
        <v>144650</v>
      </c>
      <c r="AW51">
        <v>56.65</v>
      </c>
      <c r="AX51">
        <v>2115.3000000000002</v>
      </c>
      <c r="AY51">
        <v>2553.42</v>
      </c>
      <c r="AZ51">
        <f t="shared" si="3"/>
        <v>4668.72</v>
      </c>
      <c r="BA51">
        <v>99</v>
      </c>
      <c r="BB51">
        <v>26</v>
      </c>
      <c r="BC51" s="4">
        <v>3.3441748131904099E-2</v>
      </c>
      <c r="BD51">
        <f t="shared" si="4"/>
        <v>3.3441748131904099</v>
      </c>
      <c r="BE51">
        <v>21</v>
      </c>
    </row>
    <row r="52" spans="1:57" x14ac:dyDescent="0.25">
      <c r="A52">
        <v>23</v>
      </c>
      <c r="B52" t="s">
        <v>10</v>
      </c>
      <c r="C52" t="s">
        <v>131</v>
      </c>
      <c r="D52" t="s">
        <v>132</v>
      </c>
      <c r="E52" t="s">
        <v>133</v>
      </c>
      <c r="F52" t="s">
        <v>274</v>
      </c>
      <c r="G52" t="s">
        <v>359</v>
      </c>
      <c r="H52">
        <v>1.003841185</v>
      </c>
      <c r="I52">
        <v>9.1293500660000007</v>
      </c>
      <c r="J52">
        <v>9.1293500660000007</v>
      </c>
      <c r="M52">
        <v>2.2433217550000002</v>
      </c>
      <c r="N52">
        <v>3</v>
      </c>
      <c r="O52">
        <v>12.5</v>
      </c>
      <c r="P52">
        <v>0.5</v>
      </c>
      <c r="Q52">
        <v>1</v>
      </c>
      <c r="AJ52">
        <v>0.56358693199999998</v>
      </c>
      <c r="AL52">
        <f t="shared" si="0"/>
        <v>1465634.5378137887</v>
      </c>
      <c r="AM52">
        <f t="shared" si="1"/>
        <v>1</v>
      </c>
      <c r="AS52">
        <f t="shared" si="2"/>
        <v>94503.360000000001</v>
      </c>
      <c r="AT52">
        <v>2.94</v>
      </c>
      <c r="AU52">
        <v>32144</v>
      </c>
      <c r="AV52">
        <v>144650</v>
      </c>
      <c r="AW52">
        <v>56.65</v>
      </c>
      <c r="AX52">
        <v>2115.3000000000002</v>
      </c>
      <c r="AY52">
        <v>2553.42</v>
      </c>
      <c r="AZ52">
        <f t="shared" si="3"/>
        <v>4668.72</v>
      </c>
      <c r="BA52">
        <v>99</v>
      </c>
      <c r="BB52">
        <v>26</v>
      </c>
      <c r="BC52" s="4">
        <v>3.1392641619411501</v>
      </c>
      <c r="BD52">
        <f t="shared" si="4"/>
        <v>313.92641619411501</v>
      </c>
      <c r="BE52">
        <v>142</v>
      </c>
    </row>
    <row r="53" spans="1:57" x14ac:dyDescent="0.25">
      <c r="A53">
        <v>22</v>
      </c>
      <c r="B53" t="s">
        <v>10</v>
      </c>
      <c r="C53" t="s">
        <v>131</v>
      </c>
      <c r="D53" t="s">
        <v>132</v>
      </c>
      <c r="E53" t="s">
        <v>134</v>
      </c>
      <c r="F53" t="s">
        <v>275</v>
      </c>
      <c r="G53" t="s">
        <v>360</v>
      </c>
      <c r="H53">
        <v>1.062303234</v>
      </c>
      <c r="I53">
        <v>8.7172127800000005</v>
      </c>
      <c r="J53">
        <v>8.7172127800000005</v>
      </c>
      <c r="M53">
        <v>2.6658517150000001</v>
      </c>
      <c r="N53">
        <v>2.5</v>
      </c>
      <c r="O53">
        <v>13</v>
      </c>
      <c r="P53">
        <v>0.5</v>
      </c>
      <c r="Q53">
        <v>1</v>
      </c>
      <c r="AJ53">
        <v>0.63829154300000002</v>
      </c>
      <c r="AL53">
        <f t="shared" si="0"/>
        <v>285258.68107917765</v>
      </c>
      <c r="AM53">
        <f t="shared" si="1"/>
        <v>1</v>
      </c>
      <c r="AS53">
        <f t="shared" si="2"/>
        <v>10607.52</v>
      </c>
      <c r="AT53">
        <v>0.33</v>
      </c>
      <c r="AU53">
        <v>32144</v>
      </c>
      <c r="AV53">
        <v>144650</v>
      </c>
      <c r="AW53">
        <v>56.65</v>
      </c>
      <c r="AX53">
        <v>2115.3000000000002</v>
      </c>
      <c r="AY53">
        <v>2553.42</v>
      </c>
      <c r="AZ53">
        <f t="shared" si="3"/>
        <v>4668.72</v>
      </c>
      <c r="BA53">
        <v>99</v>
      </c>
      <c r="BB53">
        <v>26</v>
      </c>
      <c r="BC53" s="4">
        <v>0.61099976241706</v>
      </c>
      <c r="BD53">
        <f t="shared" si="4"/>
        <v>61.099976241706003</v>
      </c>
      <c r="BE53">
        <v>59</v>
      </c>
    </row>
    <row r="54" spans="1:57" x14ac:dyDescent="0.25">
      <c r="A54">
        <v>63</v>
      </c>
      <c r="B54" t="s">
        <v>114</v>
      </c>
      <c r="C54" t="s">
        <v>135</v>
      </c>
      <c r="D54" t="s">
        <v>136</v>
      </c>
      <c r="E54" t="s">
        <v>137</v>
      </c>
      <c r="F54" t="s">
        <v>276</v>
      </c>
      <c r="G54" t="s">
        <v>361</v>
      </c>
      <c r="H54">
        <v>1.086936956</v>
      </c>
      <c r="I54">
        <v>18.579999999999998</v>
      </c>
      <c r="J54">
        <v>18.579999999999998</v>
      </c>
      <c r="M54">
        <v>3.5734594510000002</v>
      </c>
      <c r="N54">
        <v>9.25</v>
      </c>
      <c r="O54">
        <v>19.25</v>
      </c>
      <c r="P54">
        <v>0.5</v>
      </c>
      <c r="Q54">
        <v>1</v>
      </c>
      <c r="AJ54">
        <v>0.623</v>
      </c>
      <c r="AL54" t="str">
        <f t="shared" si="0"/>
        <v/>
      </c>
      <c r="AM54" t="str">
        <f t="shared" si="1"/>
        <v/>
      </c>
      <c r="AS54">
        <f t="shared" si="2"/>
        <v>0</v>
      </c>
      <c r="AT54">
        <v>0</v>
      </c>
      <c r="AU54">
        <v>32144</v>
      </c>
      <c r="AV54">
        <v>144650</v>
      </c>
      <c r="AW54">
        <v>56.65</v>
      </c>
      <c r="AX54">
        <v>2115.3000000000002</v>
      </c>
      <c r="AY54">
        <v>2553.42</v>
      </c>
      <c r="AZ54">
        <f t="shared" si="3"/>
        <v>4668.72</v>
      </c>
      <c r="BA54">
        <v>99</v>
      </c>
      <c r="BB54">
        <v>26</v>
      </c>
      <c r="BC54" s="4"/>
      <c r="BD54" t="str">
        <f t="shared" si="4"/>
        <v/>
      </c>
    </row>
    <row r="55" spans="1:57" x14ac:dyDescent="0.25">
      <c r="A55">
        <v>15</v>
      </c>
      <c r="B55" t="s">
        <v>53</v>
      </c>
      <c r="C55" t="s">
        <v>54</v>
      </c>
      <c r="D55" t="s">
        <v>138</v>
      </c>
      <c r="E55" t="s">
        <v>139</v>
      </c>
      <c r="F55" t="s">
        <v>277</v>
      </c>
      <c r="G55" t="s">
        <v>329</v>
      </c>
      <c r="H55">
        <v>1.959450444</v>
      </c>
      <c r="I55">
        <v>13.26610595</v>
      </c>
      <c r="J55">
        <v>13.26610595</v>
      </c>
      <c r="M55">
        <v>5.1087566740000003</v>
      </c>
      <c r="N55">
        <v>1</v>
      </c>
      <c r="O55">
        <v>18</v>
      </c>
      <c r="P55">
        <v>0.5</v>
      </c>
      <c r="Q55">
        <v>1</v>
      </c>
      <c r="AJ55">
        <v>0.80322921599999997</v>
      </c>
      <c r="AL55">
        <f t="shared" si="0"/>
        <v>84354.0410428467</v>
      </c>
      <c r="AM55">
        <f t="shared" si="1"/>
        <v>1</v>
      </c>
      <c r="AS55">
        <f t="shared" si="2"/>
        <v>964.31999999999994</v>
      </c>
      <c r="AT55">
        <v>0.03</v>
      </c>
      <c r="AU55">
        <v>32144</v>
      </c>
      <c r="AV55">
        <v>144650</v>
      </c>
      <c r="AW55">
        <v>56.65</v>
      </c>
      <c r="AX55">
        <v>2115.3000000000002</v>
      </c>
      <c r="AY55">
        <v>2553.42</v>
      </c>
      <c r="AZ55">
        <f t="shared" si="3"/>
        <v>4668.72</v>
      </c>
      <c r="BA55">
        <v>99</v>
      </c>
      <c r="BB55">
        <v>26</v>
      </c>
      <c r="BC55" s="4">
        <v>0.18067916054688801</v>
      </c>
      <c r="BD55">
        <f t="shared" si="4"/>
        <v>18.067916054688801</v>
      </c>
      <c r="BE55">
        <v>58</v>
      </c>
    </row>
    <row r="56" spans="1:57" x14ac:dyDescent="0.25">
      <c r="A56">
        <v>90</v>
      </c>
      <c r="B56" t="s">
        <v>140</v>
      </c>
      <c r="C56" t="s">
        <v>141</v>
      </c>
      <c r="D56" t="s">
        <v>142</v>
      </c>
      <c r="E56" t="s">
        <v>143</v>
      </c>
      <c r="F56" t="s">
        <v>278</v>
      </c>
      <c r="G56" t="s">
        <v>362</v>
      </c>
      <c r="H56">
        <v>1.2846381140000001</v>
      </c>
      <c r="I56">
        <v>12.93263688</v>
      </c>
      <c r="J56">
        <v>12.93263688</v>
      </c>
      <c r="M56">
        <v>4.3671921210000004</v>
      </c>
      <c r="N56">
        <v>1.5</v>
      </c>
      <c r="P56">
        <v>0.5</v>
      </c>
      <c r="Q56">
        <v>1</v>
      </c>
      <c r="AJ56">
        <v>0.786322827</v>
      </c>
      <c r="AL56">
        <f t="shared" si="0"/>
        <v>62560.225496844418</v>
      </c>
      <c r="AM56">
        <f t="shared" si="1"/>
        <v>0</v>
      </c>
      <c r="AS56">
        <f t="shared" si="2"/>
        <v>0</v>
      </c>
      <c r="AT56">
        <v>0</v>
      </c>
      <c r="AU56">
        <v>32144</v>
      </c>
      <c r="AV56">
        <v>144650</v>
      </c>
      <c r="AW56">
        <v>56.65</v>
      </c>
      <c r="AX56">
        <v>2115.3000000000002</v>
      </c>
      <c r="AY56">
        <v>2553.42</v>
      </c>
      <c r="AZ56">
        <f t="shared" si="3"/>
        <v>4668.72</v>
      </c>
      <c r="BA56">
        <v>99</v>
      </c>
      <c r="BB56">
        <v>26</v>
      </c>
      <c r="BC56" s="4">
        <v>0.13399866665134</v>
      </c>
      <c r="BD56">
        <f t="shared" si="4"/>
        <v>13.399866665134001</v>
      </c>
      <c r="BE56">
        <v>3</v>
      </c>
    </row>
    <row r="57" spans="1:57" x14ac:dyDescent="0.25">
      <c r="A57">
        <v>74</v>
      </c>
      <c r="B57" t="s">
        <v>10</v>
      </c>
      <c r="C57" t="s">
        <v>144</v>
      </c>
      <c r="D57" t="s">
        <v>145</v>
      </c>
      <c r="E57" t="s">
        <v>146</v>
      </c>
      <c r="F57" t="s">
        <v>279</v>
      </c>
      <c r="G57" t="s">
        <v>363</v>
      </c>
      <c r="H57">
        <v>1.347217433</v>
      </c>
      <c r="I57">
        <v>10.66331252</v>
      </c>
      <c r="J57">
        <v>10.66331252</v>
      </c>
      <c r="M57">
        <v>3.4351882119999999</v>
      </c>
      <c r="N57">
        <v>3</v>
      </c>
      <c r="P57">
        <v>0.5</v>
      </c>
      <c r="Q57">
        <v>1</v>
      </c>
      <c r="AJ57">
        <v>0.69687956799999995</v>
      </c>
      <c r="AL57">
        <f t="shared" si="0"/>
        <v>282860.22185410484</v>
      </c>
      <c r="AM57">
        <f t="shared" si="1"/>
        <v>1</v>
      </c>
      <c r="AS57">
        <f t="shared" si="2"/>
        <v>35036.959999999999</v>
      </c>
      <c r="AT57">
        <v>1.0900000000000001</v>
      </c>
      <c r="AU57">
        <v>32144</v>
      </c>
      <c r="AV57">
        <v>144650</v>
      </c>
      <c r="AW57">
        <v>56.65</v>
      </c>
      <c r="AX57">
        <v>2115.3000000000002</v>
      </c>
      <c r="AY57">
        <v>2553.42</v>
      </c>
      <c r="AZ57">
        <f t="shared" si="3"/>
        <v>4668.72</v>
      </c>
      <c r="BA57">
        <v>99</v>
      </c>
      <c r="BB57">
        <v>26</v>
      </c>
      <c r="BC57" s="4">
        <v>0.60586246734459304</v>
      </c>
      <c r="BD57">
        <f t="shared" si="4"/>
        <v>60.586246734459301</v>
      </c>
      <c r="BE57">
        <v>401</v>
      </c>
    </row>
    <row r="58" spans="1:57" x14ac:dyDescent="0.25">
      <c r="A58">
        <v>5</v>
      </c>
      <c r="B58" t="s">
        <v>10</v>
      </c>
      <c r="C58" t="s">
        <v>147</v>
      </c>
      <c r="D58" t="s">
        <v>148</v>
      </c>
      <c r="E58" t="s">
        <v>149</v>
      </c>
      <c r="F58" t="s">
        <v>280</v>
      </c>
      <c r="G58" t="s">
        <v>364</v>
      </c>
      <c r="H58">
        <v>0.74837766100000003</v>
      </c>
      <c r="I58">
        <v>7.165959441</v>
      </c>
      <c r="J58">
        <v>7.165959441</v>
      </c>
      <c r="M58">
        <v>1.660594202</v>
      </c>
      <c r="N58">
        <v>5.5</v>
      </c>
      <c r="P58">
        <v>0.5</v>
      </c>
      <c r="Q58">
        <v>1</v>
      </c>
      <c r="AJ58">
        <v>0.42448098000000001</v>
      </c>
      <c r="AL58">
        <f t="shared" si="0"/>
        <v>698407.19792615902</v>
      </c>
      <c r="AM58">
        <f t="shared" si="1"/>
        <v>1</v>
      </c>
      <c r="AS58">
        <f t="shared" si="2"/>
        <v>5464.4800000000005</v>
      </c>
      <c r="AT58">
        <v>0.17</v>
      </c>
      <c r="AU58">
        <v>32144</v>
      </c>
      <c r="AV58">
        <v>144650</v>
      </c>
      <c r="AW58">
        <v>56.65</v>
      </c>
      <c r="AX58">
        <v>2115.3000000000002</v>
      </c>
      <c r="AY58">
        <v>2553.42</v>
      </c>
      <c r="AZ58">
        <f t="shared" si="3"/>
        <v>4668.72</v>
      </c>
      <c r="BA58">
        <v>99</v>
      </c>
      <c r="BB58">
        <v>26</v>
      </c>
      <c r="BC58" s="4">
        <v>1.49592864409551</v>
      </c>
      <c r="BD58">
        <f t="shared" si="4"/>
        <v>149.592864409551</v>
      </c>
      <c r="BE58">
        <v>45</v>
      </c>
    </row>
    <row r="59" spans="1:57" x14ac:dyDescent="0.25">
      <c r="A59">
        <v>78</v>
      </c>
      <c r="B59" t="s">
        <v>10</v>
      </c>
      <c r="C59" t="s">
        <v>104</v>
      </c>
      <c r="D59" t="s">
        <v>150</v>
      </c>
      <c r="E59" t="s">
        <v>151</v>
      </c>
      <c r="F59" t="s">
        <v>281</v>
      </c>
      <c r="G59" t="s">
        <v>216</v>
      </c>
      <c r="H59">
        <v>1.160879768</v>
      </c>
      <c r="I59">
        <v>8.2673972710000001</v>
      </c>
      <c r="J59">
        <v>8.2673972710000001</v>
      </c>
      <c r="M59">
        <v>2.688271442</v>
      </c>
      <c r="N59">
        <v>3.5</v>
      </c>
      <c r="P59">
        <v>0.5</v>
      </c>
      <c r="Q59">
        <v>1</v>
      </c>
      <c r="AJ59">
        <v>0.63604127600000004</v>
      </c>
      <c r="AL59" t="str">
        <f t="shared" si="0"/>
        <v/>
      </c>
      <c r="AM59" t="str">
        <f t="shared" si="1"/>
        <v/>
      </c>
      <c r="AS59">
        <f t="shared" si="2"/>
        <v>321.44</v>
      </c>
      <c r="AT59">
        <v>0.01</v>
      </c>
      <c r="AU59">
        <v>32144</v>
      </c>
      <c r="AV59">
        <v>144650</v>
      </c>
      <c r="AW59">
        <v>56.65</v>
      </c>
      <c r="AX59">
        <v>2115.3000000000002</v>
      </c>
      <c r="AY59">
        <v>2553.42</v>
      </c>
      <c r="AZ59">
        <f t="shared" si="3"/>
        <v>4668.72</v>
      </c>
      <c r="BA59">
        <v>99</v>
      </c>
      <c r="BB59">
        <v>26</v>
      </c>
      <c r="BC59" s="4"/>
      <c r="BD59" t="str">
        <f t="shared" si="4"/>
        <v/>
      </c>
    </row>
    <row r="60" spans="1:57" x14ac:dyDescent="0.25">
      <c r="A60">
        <v>34</v>
      </c>
      <c r="B60" t="s">
        <v>152</v>
      </c>
      <c r="C60" t="s">
        <v>153</v>
      </c>
      <c r="D60" t="s">
        <v>154</v>
      </c>
      <c r="E60" t="s">
        <v>155</v>
      </c>
      <c r="F60" t="s">
        <v>282</v>
      </c>
      <c r="G60" t="s">
        <v>365</v>
      </c>
      <c r="H60">
        <v>1.713277948</v>
      </c>
      <c r="I60">
        <v>12.53916235</v>
      </c>
      <c r="J60">
        <v>12.53916235</v>
      </c>
      <c r="M60">
        <v>4.1434078300000001</v>
      </c>
      <c r="N60">
        <v>4.5</v>
      </c>
      <c r="O60">
        <v>20</v>
      </c>
      <c r="P60">
        <v>0.5</v>
      </c>
      <c r="Q60">
        <v>1</v>
      </c>
      <c r="AJ60">
        <v>0.73085499799999998</v>
      </c>
      <c r="AL60">
        <f t="shared" si="0"/>
        <v>5093.0689252015691</v>
      </c>
      <c r="AM60">
        <f t="shared" si="1"/>
        <v>0</v>
      </c>
      <c r="AS60">
        <f t="shared" si="2"/>
        <v>321.44</v>
      </c>
      <c r="AT60">
        <v>0.01</v>
      </c>
      <c r="AU60">
        <v>32144</v>
      </c>
      <c r="AV60">
        <v>144650</v>
      </c>
      <c r="AW60">
        <v>56.65</v>
      </c>
      <c r="AX60">
        <v>2115.3000000000002</v>
      </c>
      <c r="AY60">
        <v>2553.42</v>
      </c>
      <c r="AZ60">
        <f t="shared" si="3"/>
        <v>4668.72</v>
      </c>
      <c r="BA60">
        <v>99</v>
      </c>
      <c r="BB60">
        <v>26</v>
      </c>
      <c r="BC60" s="4">
        <v>1.09089192009835E-2</v>
      </c>
      <c r="BD60">
        <f t="shared" si="4"/>
        <v>1.09089192009835</v>
      </c>
      <c r="BE60">
        <v>6</v>
      </c>
    </row>
    <row r="61" spans="1:57" x14ac:dyDescent="0.25">
      <c r="A61">
        <v>1</v>
      </c>
      <c r="B61" t="s">
        <v>35</v>
      </c>
      <c r="C61" t="s">
        <v>156</v>
      </c>
      <c r="D61" t="s">
        <v>157</v>
      </c>
      <c r="E61" t="s">
        <v>158</v>
      </c>
      <c r="F61" t="s">
        <v>283</v>
      </c>
      <c r="G61" t="s">
        <v>366</v>
      </c>
      <c r="H61">
        <v>2.0291403469999998</v>
      </c>
      <c r="I61">
        <v>15.506516380000001</v>
      </c>
      <c r="J61">
        <v>15.506516380000001</v>
      </c>
      <c r="M61">
        <v>5.3341210510000003</v>
      </c>
      <c r="N61">
        <v>2.5</v>
      </c>
      <c r="P61">
        <v>0.5</v>
      </c>
      <c r="Q61">
        <v>1</v>
      </c>
      <c r="AJ61">
        <v>0.78950985900000004</v>
      </c>
      <c r="AL61">
        <f t="shared" si="0"/>
        <v>153179.09738812366</v>
      </c>
      <c r="AM61">
        <f t="shared" si="1"/>
        <v>1</v>
      </c>
      <c r="AS61">
        <f t="shared" si="2"/>
        <v>5143.04</v>
      </c>
      <c r="AT61">
        <v>0.16</v>
      </c>
      <c r="AU61">
        <v>32144</v>
      </c>
      <c r="AV61">
        <v>144650</v>
      </c>
      <c r="AW61">
        <v>56.65</v>
      </c>
      <c r="AX61">
        <v>2115.3000000000002</v>
      </c>
      <c r="AY61">
        <v>2553.42</v>
      </c>
      <c r="AZ61">
        <f t="shared" si="3"/>
        <v>4668.72</v>
      </c>
      <c r="BA61">
        <v>99</v>
      </c>
      <c r="BB61">
        <v>26</v>
      </c>
      <c r="BC61" s="4">
        <v>0.32809656048793601</v>
      </c>
      <c r="BD61">
        <f t="shared" si="4"/>
        <v>32.809656048793599</v>
      </c>
      <c r="BE61">
        <v>72</v>
      </c>
    </row>
    <row r="62" spans="1:57" x14ac:dyDescent="0.25">
      <c r="A62">
        <v>53</v>
      </c>
      <c r="B62" t="s">
        <v>93</v>
      </c>
      <c r="C62" t="s">
        <v>94</v>
      </c>
      <c r="D62" t="s">
        <v>159</v>
      </c>
      <c r="E62" t="s">
        <v>160</v>
      </c>
      <c r="F62" t="s">
        <v>284</v>
      </c>
      <c r="G62" t="s">
        <v>367</v>
      </c>
      <c r="H62">
        <v>0.57696936099999996</v>
      </c>
      <c r="I62">
        <v>7.3081499579999996</v>
      </c>
      <c r="J62">
        <v>7.3081499579999996</v>
      </c>
      <c r="M62">
        <v>1.533761887</v>
      </c>
      <c r="N62">
        <v>17.5</v>
      </c>
      <c r="O62">
        <v>18.5</v>
      </c>
      <c r="P62">
        <v>0.5</v>
      </c>
      <c r="Q62">
        <v>1</v>
      </c>
      <c r="AJ62">
        <v>0.47487036999999999</v>
      </c>
      <c r="AL62">
        <f t="shared" si="0"/>
        <v>121264.69417514597</v>
      </c>
      <c r="AM62">
        <f t="shared" si="1"/>
        <v>1</v>
      </c>
      <c r="AS62">
        <f t="shared" si="2"/>
        <v>25.715200000000003</v>
      </c>
      <c r="AT62">
        <v>8.0000000000000004E-4</v>
      </c>
      <c r="AU62">
        <v>32144</v>
      </c>
      <c r="AV62">
        <v>144650</v>
      </c>
      <c r="AW62">
        <v>56.65</v>
      </c>
      <c r="AX62">
        <v>2115.3000000000002</v>
      </c>
      <c r="AY62">
        <v>2553.42</v>
      </c>
      <c r="AZ62">
        <f t="shared" si="3"/>
        <v>4668.72</v>
      </c>
      <c r="BA62">
        <v>99</v>
      </c>
      <c r="BB62">
        <v>26</v>
      </c>
      <c r="BC62" s="4">
        <v>0.25973863109191803</v>
      </c>
      <c r="BD62">
        <f t="shared" si="4"/>
        <v>25.973863109191804</v>
      </c>
      <c r="BE62">
        <v>33</v>
      </c>
    </row>
    <row r="63" spans="1:57" x14ac:dyDescent="0.25">
      <c r="A63">
        <v>68</v>
      </c>
      <c r="B63" t="s">
        <v>114</v>
      </c>
      <c r="C63" t="s">
        <v>135</v>
      </c>
      <c r="D63" t="s">
        <v>161</v>
      </c>
      <c r="E63" t="s">
        <v>162</v>
      </c>
      <c r="F63" t="s">
        <v>285</v>
      </c>
      <c r="G63" t="s">
        <v>368</v>
      </c>
      <c r="H63">
        <v>2.0254503690000001</v>
      </c>
      <c r="I63">
        <v>15.45944867</v>
      </c>
      <c r="J63">
        <v>15.45944867</v>
      </c>
      <c r="M63">
        <v>5.580249706</v>
      </c>
      <c r="N63">
        <v>2</v>
      </c>
      <c r="P63">
        <v>0.5</v>
      </c>
      <c r="Q63">
        <v>1</v>
      </c>
      <c r="AJ63">
        <v>0.81473267699999996</v>
      </c>
      <c r="AL63">
        <f t="shared" si="0"/>
        <v>191453.87911747693</v>
      </c>
      <c r="AM63">
        <f t="shared" si="1"/>
        <v>1</v>
      </c>
      <c r="AS63">
        <f t="shared" si="2"/>
        <v>321.44</v>
      </c>
      <c r="AT63">
        <v>0.01</v>
      </c>
      <c r="AU63">
        <v>32144</v>
      </c>
      <c r="AV63">
        <v>144650</v>
      </c>
      <c r="AW63">
        <v>56.65</v>
      </c>
      <c r="AX63">
        <v>2115.3000000000002</v>
      </c>
      <c r="AY63">
        <v>2553.42</v>
      </c>
      <c r="AZ63">
        <f t="shared" si="3"/>
        <v>4668.72</v>
      </c>
      <c r="BA63">
        <v>99</v>
      </c>
      <c r="BB63">
        <v>26</v>
      </c>
      <c r="BC63" s="4">
        <v>0.410077878128217</v>
      </c>
      <c r="BD63">
        <f t="shared" si="4"/>
        <v>41.007787812821697</v>
      </c>
      <c r="BE63">
        <v>75</v>
      </c>
    </row>
    <row r="64" spans="1:57" x14ac:dyDescent="0.25">
      <c r="A64">
        <v>70</v>
      </c>
      <c r="B64" t="s">
        <v>53</v>
      </c>
      <c r="C64" t="s">
        <v>163</v>
      </c>
      <c r="D64" t="s">
        <v>164</v>
      </c>
      <c r="E64" t="s">
        <v>165</v>
      </c>
      <c r="F64" t="s">
        <v>286</v>
      </c>
      <c r="G64" t="s">
        <v>369</v>
      </c>
      <c r="H64">
        <v>1.3330311210000001</v>
      </c>
      <c r="I64">
        <v>7.3725572550000003</v>
      </c>
      <c r="J64">
        <v>7.3725572550000003</v>
      </c>
      <c r="M64">
        <v>3.2868371710000002</v>
      </c>
      <c r="N64">
        <v>5</v>
      </c>
      <c r="O64">
        <v>21</v>
      </c>
      <c r="P64">
        <v>0.5</v>
      </c>
      <c r="Q64">
        <v>1</v>
      </c>
      <c r="AJ64">
        <v>0.75731757399999999</v>
      </c>
      <c r="AL64">
        <f t="shared" si="0"/>
        <v>34822.654702293126</v>
      </c>
      <c r="AM64">
        <f t="shared" si="1"/>
        <v>0</v>
      </c>
      <c r="AS64">
        <f t="shared" si="2"/>
        <v>2892.96</v>
      </c>
      <c r="AT64">
        <v>0.09</v>
      </c>
      <c r="AU64">
        <v>32144</v>
      </c>
      <c r="AV64">
        <v>144650</v>
      </c>
      <c r="AW64">
        <v>56.65</v>
      </c>
      <c r="AX64">
        <v>2115.3000000000002</v>
      </c>
      <c r="AY64">
        <v>2553.42</v>
      </c>
      <c r="AZ64">
        <f t="shared" si="3"/>
        <v>4668.72</v>
      </c>
      <c r="BA64">
        <v>99</v>
      </c>
      <c r="BB64">
        <v>26</v>
      </c>
      <c r="BC64" s="4">
        <v>7.4587156013410802E-2</v>
      </c>
      <c r="BD64">
        <f t="shared" si="4"/>
        <v>7.4587156013410798</v>
      </c>
      <c r="BE64">
        <v>21</v>
      </c>
    </row>
    <row r="65" spans="1:57" x14ac:dyDescent="0.25">
      <c r="A65">
        <v>77</v>
      </c>
      <c r="B65" t="s">
        <v>27</v>
      </c>
      <c r="C65" t="s">
        <v>166</v>
      </c>
      <c r="D65" t="s">
        <v>167</v>
      </c>
      <c r="E65" t="s">
        <v>168</v>
      </c>
      <c r="F65" t="s">
        <v>287</v>
      </c>
      <c r="G65" t="s">
        <v>320</v>
      </c>
      <c r="H65">
        <v>2.48176481</v>
      </c>
      <c r="I65">
        <v>13.17197487</v>
      </c>
      <c r="J65">
        <v>13.17197487</v>
      </c>
      <c r="M65">
        <v>5.7174366499999998</v>
      </c>
      <c r="N65">
        <v>4</v>
      </c>
      <c r="O65">
        <v>24</v>
      </c>
      <c r="P65">
        <v>0.5</v>
      </c>
      <c r="Q65">
        <v>1</v>
      </c>
      <c r="AJ65">
        <v>0.81115631200000005</v>
      </c>
      <c r="AL65" t="str">
        <f t="shared" si="0"/>
        <v/>
      </c>
      <c r="AM65" t="str">
        <f t="shared" si="1"/>
        <v/>
      </c>
      <c r="AS65">
        <f t="shared" si="2"/>
        <v>64.287999999999997</v>
      </c>
      <c r="AT65">
        <v>2E-3</v>
      </c>
      <c r="AU65">
        <v>32144</v>
      </c>
      <c r="AV65">
        <v>144650</v>
      </c>
      <c r="AW65">
        <v>56.65</v>
      </c>
      <c r="AX65">
        <v>2115.3000000000002</v>
      </c>
      <c r="AY65">
        <v>2553.42</v>
      </c>
      <c r="AZ65">
        <f t="shared" si="3"/>
        <v>4668.72</v>
      </c>
      <c r="BA65">
        <v>99</v>
      </c>
      <c r="BB65">
        <v>26</v>
      </c>
      <c r="BC65" s="4"/>
      <c r="BD65" t="str">
        <f t="shared" si="4"/>
        <v/>
      </c>
    </row>
    <row r="66" spans="1:57" x14ac:dyDescent="0.25">
      <c r="A66">
        <v>82</v>
      </c>
      <c r="B66" t="s">
        <v>10</v>
      </c>
      <c r="C66" t="s">
        <v>169</v>
      </c>
      <c r="D66" t="s">
        <v>170</v>
      </c>
      <c r="E66" t="s">
        <v>171</v>
      </c>
      <c r="F66" t="s">
        <v>288</v>
      </c>
      <c r="G66" t="s">
        <v>370</v>
      </c>
      <c r="H66">
        <v>1.3553941759999999</v>
      </c>
      <c r="I66">
        <v>11.055368169999999</v>
      </c>
      <c r="J66">
        <v>11.055368169999999</v>
      </c>
      <c r="M66">
        <v>3.8198491529999998</v>
      </c>
      <c r="N66">
        <v>3.5</v>
      </c>
      <c r="P66">
        <v>0.5</v>
      </c>
      <c r="Q66">
        <v>1</v>
      </c>
      <c r="AJ66">
        <v>0.74407208700000005</v>
      </c>
      <c r="AL66">
        <f t="shared" si="0"/>
        <v>136805.73563469286</v>
      </c>
      <c r="AM66">
        <f t="shared" si="1"/>
        <v>1</v>
      </c>
      <c r="AS66">
        <f t="shared" si="2"/>
        <v>0</v>
      </c>
      <c r="AT66">
        <v>0</v>
      </c>
      <c r="AU66">
        <v>32144</v>
      </c>
      <c r="AV66">
        <v>144650</v>
      </c>
      <c r="AW66">
        <v>56.65</v>
      </c>
      <c r="AX66">
        <v>2115.3000000000002</v>
      </c>
      <c r="AY66">
        <v>2553.42</v>
      </c>
      <c r="AZ66">
        <f t="shared" si="3"/>
        <v>4668.72</v>
      </c>
      <c r="BA66">
        <v>99</v>
      </c>
      <c r="BB66">
        <v>26</v>
      </c>
      <c r="BC66" s="4">
        <v>0.29302621625347602</v>
      </c>
      <c r="BD66">
        <f t="shared" si="4"/>
        <v>29.302621625347602</v>
      </c>
      <c r="BE66">
        <v>33</v>
      </c>
    </row>
    <row r="67" spans="1:57" x14ac:dyDescent="0.25">
      <c r="A67">
        <v>13</v>
      </c>
      <c r="B67" t="s">
        <v>18</v>
      </c>
      <c r="C67" t="s">
        <v>19</v>
      </c>
      <c r="D67" t="s">
        <v>172</v>
      </c>
      <c r="E67" t="s">
        <v>173</v>
      </c>
      <c r="F67" t="s">
        <v>289</v>
      </c>
      <c r="G67" t="s">
        <v>371</v>
      </c>
      <c r="H67">
        <v>1.7969150270000001</v>
      </c>
      <c r="I67">
        <v>15.615423789999999</v>
      </c>
      <c r="J67">
        <v>15.615423789999999</v>
      </c>
      <c r="M67">
        <v>4.7929517979999998</v>
      </c>
      <c r="N67">
        <v>2</v>
      </c>
      <c r="P67">
        <v>0.5</v>
      </c>
      <c r="Q67">
        <v>1</v>
      </c>
      <c r="AJ67">
        <v>0.76622033000000001</v>
      </c>
      <c r="AL67">
        <f t="shared" ref="AL67:AL87" si="5">IFERROR((BD67*AZ67),"")</f>
        <v>103324.17651544799</v>
      </c>
      <c r="AM67">
        <f t="shared" ref="AM67:AM87" si="6">IF(BE67="","",(IF(BE67&gt;29,1,0)))</f>
        <v>1</v>
      </c>
      <c r="AS67">
        <f t="shared" ref="AS67:AS88" si="7">AU67*AT67</f>
        <v>24108</v>
      </c>
      <c r="AT67">
        <v>0.75</v>
      </c>
      <c r="AU67">
        <v>32144</v>
      </c>
      <c r="AV67">
        <v>144650</v>
      </c>
      <c r="AW67">
        <v>56.65</v>
      </c>
      <c r="AX67">
        <v>2115.3000000000002</v>
      </c>
      <c r="AY67">
        <v>2553.42</v>
      </c>
      <c r="AZ67">
        <f t="shared" ref="AZ67:AZ88" si="8">AX67+AY67</f>
        <v>4668.72</v>
      </c>
      <c r="BA67">
        <v>99</v>
      </c>
      <c r="BB67">
        <v>26</v>
      </c>
      <c r="BC67" s="4">
        <v>0.22131157258402301</v>
      </c>
      <c r="BD67">
        <f t="shared" ref="BD67:BD86" si="9">IF(BC67="","",(BC67*100))</f>
        <v>22.1311572584023</v>
      </c>
      <c r="BE67">
        <v>127</v>
      </c>
    </row>
    <row r="68" spans="1:57" x14ac:dyDescent="0.25">
      <c r="A68">
        <v>3</v>
      </c>
      <c r="B68" t="s">
        <v>93</v>
      </c>
      <c r="C68" t="s">
        <v>174</v>
      </c>
      <c r="D68" t="s">
        <v>175</v>
      </c>
      <c r="E68" t="s">
        <v>176</v>
      </c>
      <c r="F68" t="s">
        <v>290</v>
      </c>
      <c r="G68" t="s">
        <v>372</v>
      </c>
      <c r="H68">
        <v>1.138523325</v>
      </c>
      <c r="I68">
        <v>10.93700327</v>
      </c>
      <c r="J68">
        <v>10.93700327</v>
      </c>
      <c r="M68">
        <v>2.6822756189999999</v>
      </c>
      <c r="N68">
        <v>9</v>
      </c>
      <c r="O68">
        <v>27</v>
      </c>
      <c r="P68">
        <v>0.5</v>
      </c>
      <c r="Q68">
        <v>1</v>
      </c>
      <c r="AJ68">
        <v>0.61482109200000001</v>
      </c>
      <c r="AL68">
        <f t="shared" si="5"/>
        <v>341422.87444672809</v>
      </c>
      <c r="AM68">
        <f t="shared" si="6"/>
        <v>1</v>
      </c>
      <c r="AS68">
        <f t="shared" si="7"/>
        <v>39858.559999999998</v>
      </c>
      <c r="AT68">
        <v>1.24</v>
      </c>
      <c r="AU68">
        <v>32144</v>
      </c>
      <c r="AV68">
        <v>144650</v>
      </c>
      <c r="AW68">
        <v>56.65</v>
      </c>
      <c r="AX68">
        <v>2115.3000000000002</v>
      </c>
      <c r="AY68">
        <v>2553.42</v>
      </c>
      <c r="AZ68">
        <f t="shared" si="8"/>
        <v>4668.72</v>
      </c>
      <c r="BA68">
        <v>99</v>
      </c>
      <c r="BB68">
        <v>26</v>
      </c>
      <c r="BC68" s="4">
        <v>0.73129867382650504</v>
      </c>
      <c r="BD68">
        <f t="shared" si="9"/>
        <v>73.129867382650502</v>
      </c>
      <c r="BE68">
        <v>122</v>
      </c>
    </row>
    <row r="69" spans="1:57" x14ac:dyDescent="0.25">
      <c r="A69">
        <v>26</v>
      </c>
      <c r="B69" t="s">
        <v>35</v>
      </c>
      <c r="C69" t="s">
        <v>36</v>
      </c>
      <c r="D69" t="s">
        <v>177</v>
      </c>
      <c r="E69" t="s">
        <v>178</v>
      </c>
      <c r="F69" t="s">
        <v>291</v>
      </c>
      <c r="G69" t="s">
        <v>373</v>
      </c>
      <c r="H69">
        <v>2.3674420509999998</v>
      </c>
      <c r="I69">
        <v>21.083333329999999</v>
      </c>
      <c r="J69">
        <v>21.083333329999999</v>
      </c>
      <c r="M69">
        <v>5.9944051959999998</v>
      </c>
      <c r="N69">
        <v>4.25</v>
      </c>
      <c r="O69">
        <v>23.75</v>
      </c>
      <c r="P69">
        <v>0.5</v>
      </c>
      <c r="Q69">
        <v>1</v>
      </c>
      <c r="AJ69">
        <v>0.76852088500000004</v>
      </c>
      <c r="AL69" t="str">
        <f t="shared" si="5"/>
        <v/>
      </c>
      <c r="AM69" t="str">
        <f t="shared" si="6"/>
        <v/>
      </c>
      <c r="AS69">
        <f t="shared" si="7"/>
        <v>128.57599999999999</v>
      </c>
      <c r="AT69">
        <v>4.0000000000000001E-3</v>
      </c>
      <c r="AU69">
        <v>32144</v>
      </c>
      <c r="AV69">
        <v>144650</v>
      </c>
      <c r="AW69">
        <v>56.65</v>
      </c>
      <c r="AX69">
        <v>2115.3000000000002</v>
      </c>
      <c r="AY69">
        <v>2553.42</v>
      </c>
      <c r="AZ69">
        <f t="shared" si="8"/>
        <v>4668.72</v>
      </c>
      <c r="BA69">
        <v>99</v>
      </c>
      <c r="BB69">
        <v>26</v>
      </c>
      <c r="BC69" s="4"/>
      <c r="BD69" t="str">
        <f t="shared" si="9"/>
        <v/>
      </c>
    </row>
    <row r="70" spans="1:57" x14ac:dyDescent="0.25">
      <c r="A70">
        <v>7</v>
      </c>
      <c r="B70" t="s">
        <v>10</v>
      </c>
      <c r="C70" t="s">
        <v>45</v>
      </c>
      <c r="D70" t="s">
        <v>179</v>
      </c>
      <c r="E70" t="s">
        <v>180</v>
      </c>
      <c r="F70" t="s">
        <v>292</v>
      </c>
      <c r="G70" t="s">
        <v>374</v>
      </c>
      <c r="H70">
        <v>1.3266854640000001</v>
      </c>
      <c r="I70">
        <v>9.7338588890000004</v>
      </c>
      <c r="J70">
        <v>9.7338588890000004</v>
      </c>
      <c r="M70">
        <v>3.4090269869999998</v>
      </c>
      <c r="N70">
        <v>3</v>
      </c>
      <c r="O70">
        <v>17</v>
      </c>
      <c r="P70">
        <v>0.5</v>
      </c>
      <c r="Q70">
        <v>1</v>
      </c>
      <c r="AJ70">
        <v>0.70576746499999998</v>
      </c>
      <c r="AL70">
        <f t="shared" si="5"/>
        <v>19613.872940306333</v>
      </c>
      <c r="AM70">
        <f t="shared" si="6"/>
        <v>0</v>
      </c>
      <c r="AS70">
        <f t="shared" si="7"/>
        <v>0</v>
      </c>
      <c r="AT70">
        <v>0</v>
      </c>
      <c r="AU70">
        <v>32144</v>
      </c>
      <c r="AV70">
        <v>144650</v>
      </c>
      <c r="AW70">
        <v>56.65</v>
      </c>
      <c r="AX70">
        <v>2115.3000000000002</v>
      </c>
      <c r="AY70">
        <v>2553.42</v>
      </c>
      <c r="AZ70">
        <f t="shared" si="8"/>
        <v>4668.72</v>
      </c>
      <c r="BA70">
        <v>99</v>
      </c>
      <c r="BB70">
        <v>26</v>
      </c>
      <c r="BC70" s="4">
        <v>4.2011242782403597E-2</v>
      </c>
      <c r="BD70">
        <f t="shared" si="9"/>
        <v>4.2011242782403597</v>
      </c>
      <c r="BE70">
        <v>6</v>
      </c>
    </row>
    <row r="71" spans="1:57" x14ac:dyDescent="0.25">
      <c r="A71">
        <v>67</v>
      </c>
      <c r="B71" t="s">
        <v>48</v>
      </c>
      <c r="C71" t="s">
        <v>49</v>
      </c>
      <c r="D71" t="s">
        <v>181</v>
      </c>
      <c r="E71" t="s">
        <v>182</v>
      </c>
      <c r="F71" t="s">
        <v>293</v>
      </c>
      <c r="G71" t="s">
        <v>375</v>
      </c>
      <c r="H71">
        <v>0.98571293500000001</v>
      </c>
      <c r="I71">
        <v>7.9042260259999999</v>
      </c>
      <c r="J71">
        <v>7.9042260259999999</v>
      </c>
      <c r="M71">
        <v>2.0477927660000002</v>
      </c>
      <c r="N71">
        <v>3.5</v>
      </c>
      <c r="P71">
        <v>0.5</v>
      </c>
      <c r="Q71">
        <v>1</v>
      </c>
      <c r="AJ71">
        <v>0.52587402400000005</v>
      </c>
      <c r="AL71">
        <f t="shared" si="5"/>
        <v>9803.8714654313135</v>
      </c>
      <c r="AM71">
        <f t="shared" si="6"/>
        <v>0</v>
      </c>
      <c r="AS71">
        <f t="shared" si="7"/>
        <v>321.44</v>
      </c>
      <c r="AT71">
        <v>0.01</v>
      </c>
      <c r="AU71">
        <v>32144</v>
      </c>
      <c r="AV71">
        <v>144650</v>
      </c>
      <c r="AW71">
        <v>56.65</v>
      </c>
      <c r="AX71">
        <v>2115.3000000000002</v>
      </c>
      <c r="AY71">
        <v>2553.42</v>
      </c>
      <c r="AZ71">
        <f t="shared" si="8"/>
        <v>4668.72</v>
      </c>
      <c r="BA71">
        <v>99</v>
      </c>
      <c r="BB71">
        <v>26</v>
      </c>
      <c r="BC71" s="4">
        <v>2.0999056412531299E-2</v>
      </c>
      <c r="BD71">
        <f t="shared" si="9"/>
        <v>2.0999056412531298</v>
      </c>
      <c r="BE71">
        <v>4</v>
      </c>
    </row>
    <row r="72" spans="1:57" x14ac:dyDescent="0.25">
      <c r="A72">
        <v>45</v>
      </c>
      <c r="B72" t="s">
        <v>35</v>
      </c>
      <c r="C72" t="s">
        <v>183</v>
      </c>
      <c r="D72" t="s">
        <v>184</v>
      </c>
      <c r="E72" t="s">
        <v>185</v>
      </c>
      <c r="F72" t="s">
        <v>294</v>
      </c>
      <c r="G72" t="s">
        <v>376</v>
      </c>
      <c r="H72">
        <v>2.998357065</v>
      </c>
      <c r="I72">
        <v>21</v>
      </c>
      <c r="J72">
        <v>21</v>
      </c>
      <c r="M72">
        <v>7.246297223</v>
      </c>
      <c r="N72">
        <v>3.5</v>
      </c>
      <c r="O72">
        <v>21.25</v>
      </c>
      <c r="P72">
        <v>0.5</v>
      </c>
      <c r="Q72">
        <v>1</v>
      </c>
      <c r="AJ72">
        <v>0.616922258</v>
      </c>
      <c r="AL72">
        <f t="shared" si="5"/>
        <v>19472.481085827767</v>
      </c>
      <c r="AM72">
        <f t="shared" si="6"/>
        <v>0</v>
      </c>
      <c r="AS72">
        <f t="shared" si="7"/>
        <v>321.44</v>
      </c>
      <c r="AT72">
        <v>0.01</v>
      </c>
      <c r="AU72">
        <v>32144</v>
      </c>
      <c r="AV72">
        <v>144650</v>
      </c>
      <c r="AW72">
        <v>56.65</v>
      </c>
      <c r="AX72">
        <v>2115.3000000000002</v>
      </c>
      <c r="AY72">
        <v>2553.42</v>
      </c>
      <c r="AZ72">
        <f t="shared" si="8"/>
        <v>4668.72</v>
      </c>
      <c r="BA72">
        <v>99</v>
      </c>
      <c r="BB72">
        <v>26</v>
      </c>
      <c r="BC72" s="4">
        <v>4.1708393490780697E-2</v>
      </c>
      <c r="BD72">
        <f t="shared" si="9"/>
        <v>4.1708393490780695</v>
      </c>
      <c r="BE72">
        <v>2</v>
      </c>
    </row>
    <row r="73" spans="1:57" x14ac:dyDescent="0.25">
      <c r="A73">
        <v>85</v>
      </c>
      <c r="B73" t="s">
        <v>10</v>
      </c>
      <c r="C73" t="s">
        <v>186</v>
      </c>
      <c r="D73" t="s">
        <v>187</v>
      </c>
      <c r="E73" t="s">
        <v>188</v>
      </c>
      <c r="F73" t="s">
        <v>295</v>
      </c>
      <c r="G73" t="s">
        <v>377</v>
      </c>
      <c r="H73">
        <v>1.4930311300000001</v>
      </c>
      <c r="I73">
        <v>9.1285689570000006</v>
      </c>
      <c r="J73">
        <v>9.1285689570000006</v>
      </c>
      <c r="M73">
        <v>3.0247775360000002</v>
      </c>
      <c r="N73">
        <v>3</v>
      </c>
      <c r="P73">
        <v>0.5</v>
      </c>
      <c r="Q73">
        <v>1</v>
      </c>
      <c r="AJ73">
        <v>0.62460921599999997</v>
      </c>
      <c r="AL73">
        <f t="shared" si="5"/>
        <v>46957.247664562907</v>
      </c>
      <c r="AM73">
        <f t="shared" si="6"/>
        <v>1</v>
      </c>
      <c r="AS73">
        <f t="shared" si="7"/>
        <v>642.88</v>
      </c>
      <c r="AT73">
        <v>0.02</v>
      </c>
      <c r="AU73">
        <v>32144</v>
      </c>
      <c r="AV73">
        <v>144650</v>
      </c>
      <c r="AW73">
        <v>56.65</v>
      </c>
      <c r="AX73">
        <v>2115.3000000000002</v>
      </c>
      <c r="AY73">
        <v>2553.42</v>
      </c>
      <c r="AZ73">
        <f t="shared" si="8"/>
        <v>4668.72</v>
      </c>
      <c r="BA73">
        <v>99</v>
      </c>
      <c r="BB73">
        <v>26</v>
      </c>
      <c r="BC73" s="4">
        <v>0.10057841906253299</v>
      </c>
      <c r="BD73">
        <f t="shared" si="9"/>
        <v>10.0578419062533</v>
      </c>
      <c r="BE73">
        <v>71</v>
      </c>
    </row>
    <row r="74" spans="1:57" x14ac:dyDescent="0.25">
      <c r="A74">
        <v>48</v>
      </c>
      <c r="B74" t="s">
        <v>4</v>
      </c>
      <c r="C74" t="s">
        <v>5</v>
      </c>
      <c r="D74" t="s">
        <v>189</v>
      </c>
      <c r="E74" t="s">
        <v>190</v>
      </c>
      <c r="F74" t="s">
        <v>296</v>
      </c>
      <c r="G74" t="s">
        <v>378</v>
      </c>
      <c r="H74">
        <v>2.6808524020000002</v>
      </c>
      <c r="I74">
        <v>16.703022789999999</v>
      </c>
      <c r="J74">
        <v>16.703022789999999</v>
      </c>
      <c r="M74">
        <v>6.7898428150000001</v>
      </c>
      <c r="N74">
        <v>2</v>
      </c>
      <c r="O74">
        <v>39</v>
      </c>
      <c r="P74">
        <v>0.5</v>
      </c>
      <c r="Q74">
        <v>1</v>
      </c>
      <c r="AJ74">
        <v>0.84262159599999997</v>
      </c>
      <c r="AL74" t="str">
        <f t="shared" si="5"/>
        <v/>
      </c>
      <c r="AM74" t="str">
        <f t="shared" si="6"/>
        <v/>
      </c>
      <c r="AS74">
        <f t="shared" si="7"/>
        <v>25.715200000000003</v>
      </c>
      <c r="AT74">
        <v>8.0000000000000004E-4</v>
      </c>
      <c r="AU74">
        <v>32144</v>
      </c>
      <c r="AV74">
        <v>144650</v>
      </c>
      <c r="AW74">
        <v>56.65</v>
      </c>
      <c r="AX74">
        <v>2115.3000000000002</v>
      </c>
      <c r="AY74">
        <v>2553.42</v>
      </c>
      <c r="AZ74">
        <f t="shared" si="8"/>
        <v>4668.72</v>
      </c>
      <c r="BA74">
        <v>99</v>
      </c>
      <c r="BB74">
        <v>26</v>
      </c>
      <c r="BC74" s="4"/>
      <c r="BD74" t="str">
        <f t="shared" si="9"/>
        <v/>
      </c>
    </row>
    <row r="75" spans="1:57" x14ac:dyDescent="0.25">
      <c r="A75">
        <v>66</v>
      </c>
      <c r="B75" t="s">
        <v>114</v>
      </c>
      <c r="C75" t="s">
        <v>115</v>
      </c>
      <c r="D75" t="s">
        <v>191</v>
      </c>
      <c r="E75" t="s">
        <v>192</v>
      </c>
      <c r="F75" t="s">
        <v>297</v>
      </c>
      <c r="G75" t="s">
        <v>379</v>
      </c>
      <c r="H75">
        <v>0.75485511599999999</v>
      </c>
      <c r="I75">
        <v>9.1177270769999996</v>
      </c>
      <c r="J75">
        <v>9.1177270769999996</v>
      </c>
      <c r="M75">
        <v>2.1085520569999998</v>
      </c>
      <c r="N75">
        <v>4.4000000000000004</v>
      </c>
      <c r="P75">
        <v>0.5</v>
      </c>
      <c r="Q75">
        <v>1</v>
      </c>
      <c r="AJ75">
        <v>0.58858790500000002</v>
      </c>
      <c r="AL75">
        <f t="shared" si="5"/>
        <v>55693.193158431539</v>
      </c>
      <c r="AM75">
        <f t="shared" si="6"/>
        <v>0</v>
      </c>
      <c r="AS75">
        <f t="shared" si="7"/>
        <v>964.31999999999994</v>
      </c>
      <c r="AT75">
        <v>0.03</v>
      </c>
      <c r="AU75">
        <v>32144</v>
      </c>
      <c r="AV75">
        <v>144650</v>
      </c>
      <c r="AW75">
        <v>56.65</v>
      </c>
      <c r="AX75">
        <v>2115.3000000000002</v>
      </c>
      <c r="AY75">
        <v>2553.42</v>
      </c>
      <c r="AZ75">
        <f t="shared" si="8"/>
        <v>4668.72</v>
      </c>
      <c r="BA75">
        <v>99</v>
      </c>
      <c r="BB75">
        <v>26</v>
      </c>
      <c r="BC75" s="4">
        <v>0.119290069137647</v>
      </c>
      <c r="BD75">
        <f t="shared" si="9"/>
        <v>11.929006913764701</v>
      </c>
      <c r="BE75">
        <v>3</v>
      </c>
    </row>
    <row r="76" spans="1:57" x14ac:dyDescent="0.25">
      <c r="A76">
        <v>64</v>
      </c>
      <c r="B76" t="s">
        <v>114</v>
      </c>
      <c r="C76" t="s">
        <v>135</v>
      </c>
      <c r="D76" t="s">
        <v>191</v>
      </c>
      <c r="E76" t="s">
        <v>193</v>
      </c>
      <c r="F76" t="s">
        <v>298</v>
      </c>
      <c r="G76" t="s">
        <v>380</v>
      </c>
      <c r="H76">
        <v>1.254776315</v>
      </c>
      <c r="I76">
        <v>14.81257154</v>
      </c>
      <c r="J76">
        <v>14.81257154</v>
      </c>
      <c r="M76">
        <v>4.7389396819999998</v>
      </c>
      <c r="N76">
        <v>4</v>
      </c>
      <c r="O76">
        <v>25</v>
      </c>
      <c r="P76">
        <v>0.5</v>
      </c>
      <c r="Q76">
        <v>1</v>
      </c>
      <c r="AJ76">
        <v>0.80216151300000005</v>
      </c>
      <c r="AL76" t="str">
        <f t="shared" si="5"/>
        <v/>
      </c>
      <c r="AM76" t="str">
        <f t="shared" si="6"/>
        <v/>
      </c>
      <c r="AS76">
        <f t="shared" si="7"/>
        <v>64.287999999999997</v>
      </c>
      <c r="AT76">
        <v>2E-3</v>
      </c>
      <c r="AU76">
        <v>32144</v>
      </c>
      <c r="AV76">
        <v>144650</v>
      </c>
      <c r="AW76">
        <v>56.65</v>
      </c>
      <c r="AX76">
        <v>2115.3000000000002</v>
      </c>
      <c r="AY76">
        <v>2553.42</v>
      </c>
      <c r="AZ76">
        <f t="shared" si="8"/>
        <v>4668.72</v>
      </c>
      <c r="BA76">
        <v>99</v>
      </c>
      <c r="BB76">
        <v>26</v>
      </c>
      <c r="BC76" s="4"/>
      <c r="BD76" t="str">
        <f t="shared" si="9"/>
        <v/>
      </c>
    </row>
    <row r="77" spans="1:57" x14ac:dyDescent="0.25">
      <c r="A77">
        <v>62</v>
      </c>
      <c r="B77" t="s">
        <v>140</v>
      </c>
      <c r="C77" t="s">
        <v>194</v>
      </c>
      <c r="D77" t="s">
        <v>195</v>
      </c>
      <c r="E77" t="s">
        <v>196</v>
      </c>
      <c r="F77" t="s">
        <v>299</v>
      </c>
      <c r="G77" t="s">
        <v>381</v>
      </c>
      <c r="H77">
        <v>1.181352067</v>
      </c>
      <c r="I77">
        <v>11.993771690000001</v>
      </c>
      <c r="J77">
        <v>11.993771690000001</v>
      </c>
      <c r="M77">
        <v>4.0239908450000001</v>
      </c>
      <c r="N77">
        <v>3.5</v>
      </c>
      <c r="O77">
        <v>18</v>
      </c>
      <c r="P77">
        <v>0.5</v>
      </c>
      <c r="Q77">
        <v>1</v>
      </c>
      <c r="AJ77">
        <v>0.77394707900000004</v>
      </c>
      <c r="AL77">
        <f t="shared" si="5"/>
        <v>69568.749867797596</v>
      </c>
      <c r="AM77">
        <f t="shared" si="6"/>
        <v>0</v>
      </c>
      <c r="AS77">
        <f t="shared" si="7"/>
        <v>96.432000000000002</v>
      </c>
      <c r="AT77">
        <v>3.0000000000000001E-3</v>
      </c>
      <c r="AU77">
        <v>32144</v>
      </c>
      <c r="AV77">
        <v>144650</v>
      </c>
      <c r="AW77">
        <v>56.65</v>
      </c>
      <c r="AX77">
        <v>2115.3000000000002</v>
      </c>
      <c r="AY77">
        <v>2553.42</v>
      </c>
      <c r="AZ77">
        <f t="shared" si="8"/>
        <v>4668.72</v>
      </c>
      <c r="BA77">
        <v>99</v>
      </c>
      <c r="BB77">
        <v>26</v>
      </c>
      <c r="BC77" s="4">
        <v>0.149010328029519</v>
      </c>
      <c r="BD77">
        <f t="shared" si="9"/>
        <v>14.901032802951899</v>
      </c>
      <c r="BE77">
        <v>3</v>
      </c>
    </row>
    <row r="78" spans="1:57" x14ac:dyDescent="0.25">
      <c r="A78">
        <v>33</v>
      </c>
      <c r="B78" t="s">
        <v>114</v>
      </c>
      <c r="C78" t="s">
        <v>135</v>
      </c>
      <c r="D78" t="s">
        <v>197</v>
      </c>
      <c r="E78" t="s">
        <v>198</v>
      </c>
      <c r="F78" t="s">
        <v>300</v>
      </c>
      <c r="G78" t="s">
        <v>382</v>
      </c>
      <c r="H78">
        <v>1.165266658</v>
      </c>
      <c r="I78">
        <v>9.3533417639999996</v>
      </c>
      <c r="J78">
        <v>9.3533417639999996</v>
      </c>
      <c r="M78">
        <v>2.7975278189999999</v>
      </c>
      <c r="N78">
        <v>3.5</v>
      </c>
      <c r="P78">
        <v>0.5</v>
      </c>
      <c r="Q78">
        <v>1</v>
      </c>
      <c r="AJ78">
        <v>0.64364501900000004</v>
      </c>
      <c r="AL78">
        <f t="shared" si="5"/>
        <v>46453.76400000001</v>
      </c>
      <c r="AM78">
        <f t="shared" si="6"/>
        <v>0</v>
      </c>
      <c r="AS78">
        <f t="shared" si="7"/>
        <v>0</v>
      </c>
      <c r="AT78">
        <v>0</v>
      </c>
      <c r="AU78">
        <v>32144</v>
      </c>
      <c r="AV78">
        <v>144650</v>
      </c>
      <c r="AW78">
        <v>56.65</v>
      </c>
      <c r="AX78">
        <v>2115.3000000000002</v>
      </c>
      <c r="AY78">
        <v>2553.42</v>
      </c>
      <c r="AZ78">
        <f t="shared" si="8"/>
        <v>4668.72</v>
      </c>
      <c r="BA78">
        <v>99</v>
      </c>
      <c r="BB78">
        <v>26</v>
      </c>
      <c r="BC78" s="4">
        <v>9.9500000000000005E-2</v>
      </c>
      <c r="BD78">
        <f t="shared" si="9"/>
        <v>9.9500000000000011</v>
      </c>
      <c r="BE78">
        <v>4</v>
      </c>
    </row>
    <row r="79" spans="1:57" x14ac:dyDescent="0.25">
      <c r="A79">
        <v>81</v>
      </c>
      <c r="B79" t="s">
        <v>10</v>
      </c>
      <c r="C79" t="s">
        <v>45</v>
      </c>
      <c r="D79" t="s">
        <v>199</v>
      </c>
      <c r="E79" t="s">
        <v>200</v>
      </c>
      <c r="F79" t="s">
        <v>301</v>
      </c>
      <c r="G79" t="s">
        <v>383</v>
      </c>
      <c r="H79">
        <v>1.244377557</v>
      </c>
      <c r="I79">
        <v>9.2084380629999991</v>
      </c>
      <c r="J79">
        <v>9.2084380629999991</v>
      </c>
      <c r="M79">
        <v>3.0976361030000001</v>
      </c>
      <c r="N79">
        <v>4</v>
      </c>
      <c r="O79">
        <v>16.5</v>
      </c>
      <c r="P79">
        <v>0.5</v>
      </c>
      <c r="Q79">
        <v>1</v>
      </c>
      <c r="AJ79">
        <v>0.68291545399999998</v>
      </c>
      <c r="AL79" t="str">
        <f t="shared" si="5"/>
        <v/>
      </c>
      <c r="AM79" t="str">
        <f t="shared" si="6"/>
        <v/>
      </c>
      <c r="AS79">
        <f t="shared" si="7"/>
        <v>0</v>
      </c>
      <c r="AT79">
        <v>0</v>
      </c>
      <c r="AU79">
        <v>32144</v>
      </c>
      <c r="AV79">
        <v>144650</v>
      </c>
      <c r="AW79">
        <v>56.65</v>
      </c>
      <c r="AX79">
        <v>2115.3000000000002</v>
      </c>
      <c r="AY79">
        <v>2553.42</v>
      </c>
      <c r="AZ79">
        <f t="shared" si="8"/>
        <v>4668.72</v>
      </c>
      <c r="BA79">
        <v>99</v>
      </c>
      <c r="BB79">
        <v>26</v>
      </c>
      <c r="BC79" s="4"/>
      <c r="BD79" t="str">
        <f t="shared" si="9"/>
        <v/>
      </c>
    </row>
    <row r="80" spans="1:57" x14ac:dyDescent="0.25">
      <c r="A80">
        <v>61</v>
      </c>
      <c r="B80" t="s">
        <v>35</v>
      </c>
      <c r="C80" t="s">
        <v>201</v>
      </c>
      <c r="D80" t="s">
        <v>202</v>
      </c>
      <c r="E80" t="s">
        <v>203</v>
      </c>
      <c r="F80" t="s">
        <v>302</v>
      </c>
      <c r="G80" t="s">
        <v>384</v>
      </c>
      <c r="H80">
        <v>2.0360727320000001</v>
      </c>
      <c r="I80">
        <v>14.277701820000001</v>
      </c>
      <c r="J80">
        <v>14.277701820000001</v>
      </c>
      <c r="M80">
        <v>4.4876701209999998</v>
      </c>
      <c r="N80">
        <v>4.5</v>
      </c>
      <c r="O80">
        <v>30</v>
      </c>
      <c r="P80">
        <v>0.5</v>
      </c>
      <c r="Q80">
        <v>1</v>
      </c>
      <c r="AJ80">
        <v>0.72678378899999996</v>
      </c>
      <c r="AL80" t="str">
        <f t="shared" si="5"/>
        <v/>
      </c>
      <c r="AM80" t="str">
        <f t="shared" si="6"/>
        <v/>
      </c>
      <c r="AS80">
        <f t="shared" si="7"/>
        <v>0</v>
      </c>
      <c r="AT80">
        <v>0</v>
      </c>
      <c r="AU80">
        <v>32144</v>
      </c>
      <c r="AV80">
        <v>144650</v>
      </c>
      <c r="AW80">
        <v>56.65</v>
      </c>
      <c r="AX80">
        <v>2115.3000000000002</v>
      </c>
      <c r="AY80">
        <v>2553.42</v>
      </c>
      <c r="AZ80">
        <f t="shared" si="8"/>
        <v>4668.72</v>
      </c>
      <c r="BA80">
        <v>99</v>
      </c>
      <c r="BB80">
        <v>26</v>
      </c>
      <c r="BC80" s="4"/>
      <c r="BD80" t="str">
        <f t="shared" si="9"/>
        <v/>
      </c>
    </row>
    <row r="81" spans="1:57" x14ac:dyDescent="0.25">
      <c r="A81">
        <v>54</v>
      </c>
      <c r="B81" t="s">
        <v>140</v>
      </c>
      <c r="C81" t="s">
        <v>204</v>
      </c>
      <c r="D81" t="s">
        <v>205</v>
      </c>
      <c r="E81" t="s">
        <v>206</v>
      </c>
      <c r="F81" t="s">
        <v>303</v>
      </c>
      <c r="G81" t="s">
        <v>385</v>
      </c>
      <c r="H81">
        <v>2.0360727320000001</v>
      </c>
      <c r="I81">
        <v>14.277701820000001</v>
      </c>
      <c r="J81">
        <v>14.277701820000001</v>
      </c>
      <c r="M81">
        <v>4.4876701209999998</v>
      </c>
      <c r="N81">
        <v>2</v>
      </c>
      <c r="O81">
        <v>23.5</v>
      </c>
      <c r="P81">
        <v>0.5</v>
      </c>
      <c r="Q81">
        <v>1</v>
      </c>
      <c r="AJ81">
        <v>0.72678378899999996</v>
      </c>
      <c r="AL81" t="str">
        <f t="shared" si="5"/>
        <v/>
      </c>
      <c r="AM81" t="str">
        <f t="shared" si="6"/>
        <v/>
      </c>
      <c r="AS81">
        <f t="shared" si="7"/>
        <v>257.15199999999999</v>
      </c>
      <c r="AT81">
        <v>8.0000000000000002E-3</v>
      </c>
      <c r="AU81">
        <v>32144</v>
      </c>
      <c r="AV81">
        <v>144650</v>
      </c>
      <c r="AW81">
        <v>56.65</v>
      </c>
      <c r="AX81">
        <v>2115.3000000000002</v>
      </c>
      <c r="AY81">
        <v>2553.42</v>
      </c>
      <c r="AZ81">
        <f t="shared" si="8"/>
        <v>4668.72</v>
      </c>
      <c r="BA81">
        <v>99</v>
      </c>
      <c r="BB81">
        <v>26</v>
      </c>
      <c r="BC81" s="4"/>
      <c r="BD81" t="str">
        <f t="shared" si="9"/>
        <v/>
      </c>
    </row>
    <row r="82" spans="1:57" x14ac:dyDescent="0.25">
      <c r="A82">
        <v>55</v>
      </c>
      <c r="B82" t="s">
        <v>10</v>
      </c>
      <c r="C82" t="s">
        <v>207</v>
      </c>
      <c r="D82" t="s">
        <v>208</v>
      </c>
      <c r="E82" t="s">
        <v>209</v>
      </c>
      <c r="F82" t="s">
        <v>304</v>
      </c>
      <c r="G82" t="s">
        <v>386</v>
      </c>
      <c r="H82">
        <v>1</v>
      </c>
      <c r="I82">
        <v>7.6575364500000003</v>
      </c>
      <c r="J82">
        <v>7.6575364500000003</v>
      </c>
      <c r="M82">
        <v>2.613345195</v>
      </c>
      <c r="N82">
        <v>2.5</v>
      </c>
      <c r="O82">
        <v>16</v>
      </c>
      <c r="P82">
        <v>0.5</v>
      </c>
      <c r="Q82">
        <v>1</v>
      </c>
      <c r="AJ82">
        <v>0.65403750400000005</v>
      </c>
      <c r="AL82">
        <f t="shared" si="5"/>
        <v>107382.30619927503</v>
      </c>
      <c r="AM82">
        <f t="shared" si="6"/>
        <v>1</v>
      </c>
      <c r="AS82">
        <f t="shared" si="7"/>
        <v>2892.96</v>
      </c>
      <c r="AT82">
        <v>0.09</v>
      </c>
      <c r="AU82">
        <v>32144</v>
      </c>
      <c r="AV82">
        <v>144650</v>
      </c>
      <c r="AW82">
        <v>56.65</v>
      </c>
      <c r="AX82">
        <v>2115.3000000000002</v>
      </c>
      <c r="AY82">
        <v>2553.42</v>
      </c>
      <c r="AZ82">
        <f t="shared" si="8"/>
        <v>4668.72</v>
      </c>
      <c r="BA82">
        <v>99</v>
      </c>
      <c r="BB82">
        <v>26</v>
      </c>
      <c r="BC82" s="4">
        <v>0.230003740209897</v>
      </c>
      <c r="BD82">
        <f t="shared" si="9"/>
        <v>23.0003740209897</v>
      </c>
      <c r="BE82">
        <v>78</v>
      </c>
    </row>
    <row r="83" spans="1:57" x14ac:dyDescent="0.25">
      <c r="A83">
        <v>17</v>
      </c>
      <c r="B83" t="s">
        <v>18</v>
      </c>
      <c r="C83" t="s">
        <v>19</v>
      </c>
      <c r="D83" t="s">
        <v>210</v>
      </c>
      <c r="E83" t="s">
        <v>211</v>
      </c>
      <c r="F83" t="s">
        <v>305</v>
      </c>
      <c r="G83" t="s">
        <v>387</v>
      </c>
      <c r="H83">
        <v>2.0523441729999998</v>
      </c>
      <c r="I83">
        <v>10.76469569</v>
      </c>
      <c r="J83">
        <v>10.76469569</v>
      </c>
      <c r="M83">
        <v>3.7407156960000001</v>
      </c>
      <c r="N83">
        <v>2</v>
      </c>
      <c r="O83">
        <v>13.5</v>
      </c>
      <c r="P83">
        <v>0.5</v>
      </c>
      <c r="Q83">
        <v>1</v>
      </c>
      <c r="AJ83">
        <v>0.57674663800000003</v>
      </c>
      <c r="AL83">
        <f t="shared" si="5"/>
        <v>90516.182974286872</v>
      </c>
      <c r="AM83">
        <f t="shared" si="6"/>
        <v>1</v>
      </c>
      <c r="AS83">
        <f t="shared" si="7"/>
        <v>26679.52</v>
      </c>
      <c r="AT83">
        <v>0.83</v>
      </c>
      <c r="AU83">
        <v>32144</v>
      </c>
      <c r="AV83">
        <v>144650</v>
      </c>
      <c r="AW83">
        <v>56.65</v>
      </c>
      <c r="AX83">
        <v>2115.3000000000002</v>
      </c>
      <c r="AY83">
        <v>2553.42</v>
      </c>
      <c r="AZ83">
        <f t="shared" si="8"/>
        <v>4668.72</v>
      </c>
      <c r="BA83">
        <v>99</v>
      </c>
      <c r="BB83">
        <v>26</v>
      </c>
      <c r="BC83" s="4">
        <v>0.193877942935723</v>
      </c>
      <c r="BD83">
        <f t="shared" si="9"/>
        <v>19.387794293572298</v>
      </c>
      <c r="BE83">
        <v>82</v>
      </c>
    </row>
    <row r="84" spans="1:57" x14ac:dyDescent="0.25">
      <c r="A84">
        <v>86</v>
      </c>
      <c r="B84" t="s">
        <v>48</v>
      </c>
      <c r="C84" t="s">
        <v>212</v>
      </c>
      <c r="D84" t="s">
        <v>213</v>
      </c>
      <c r="E84" t="s">
        <v>214</v>
      </c>
      <c r="F84" t="s">
        <v>306</v>
      </c>
      <c r="G84" t="s">
        <v>388</v>
      </c>
      <c r="H84">
        <v>1.145857125</v>
      </c>
      <c r="I84">
        <v>34</v>
      </c>
      <c r="J84">
        <v>34</v>
      </c>
      <c r="M84">
        <v>5.8158548899999998</v>
      </c>
      <c r="N84">
        <v>7.5</v>
      </c>
      <c r="O84">
        <v>32.25</v>
      </c>
      <c r="P84">
        <v>0.5</v>
      </c>
      <c r="Q84">
        <v>1</v>
      </c>
      <c r="AJ84">
        <v>0.64649999999999996</v>
      </c>
      <c r="AL84">
        <f t="shared" si="5"/>
        <v>16237.700789332504</v>
      </c>
      <c r="AM84">
        <f t="shared" si="6"/>
        <v>0</v>
      </c>
      <c r="AS84">
        <f t="shared" si="7"/>
        <v>0</v>
      </c>
      <c r="AT84">
        <v>0</v>
      </c>
      <c r="AU84">
        <v>32144</v>
      </c>
      <c r="AV84">
        <v>144650</v>
      </c>
      <c r="AW84">
        <v>56.65</v>
      </c>
      <c r="AX84">
        <v>2115.3000000000002</v>
      </c>
      <c r="AY84">
        <v>2553.42</v>
      </c>
      <c r="AZ84">
        <f t="shared" si="8"/>
        <v>4668.72</v>
      </c>
      <c r="BA84">
        <v>99</v>
      </c>
      <c r="BB84">
        <v>26</v>
      </c>
      <c r="BC84" s="4">
        <v>3.4779770021188899E-2</v>
      </c>
      <c r="BD84">
        <f t="shared" si="9"/>
        <v>3.47797700211889</v>
      </c>
      <c r="BE84">
        <v>1</v>
      </c>
    </row>
    <row r="85" spans="1:57" x14ac:dyDescent="0.25">
      <c r="A85">
        <v>87</v>
      </c>
      <c r="B85" t="s">
        <v>48</v>
      </c>
      <c r="C85" t="s">
        <v>212</v>
      </c>
      <c r="D85" t="s">
        <v>213</v>
      </c>
      <c r="E85" t="s">
        <v>215</v>
      </c>
      <c r="F85" t="s">
        <v>307</v>
      </c>
      <c r="G85" t="s">
        <v>389</v>
      </c>
      <c r="H85">
        <v>1.0206403630000001</v>
      </c>
      <c r="I85">
        <v>18.321943950000001</v>
      </c>
      <c r="J85">
        <v>18.321943950000001</v>
      </c>
      <c r="M85">
        <v>3.4799055280000002</v>
      </c>
      <c r="N85">
        <v>7.5</v>
      </c>
      <c r="P85">
        <v>0.5</v>
      </c>
      <c r="Q85">
        <v>1</v>
      </c>
      <c r="AJ85">
        <v>0.59618928100000002</v>
      </c>
      <c r="AL85" t="str">
        <f t="shared" si="5"/>
        <v/>
      </c>
      <c r="AM85" t="str">
        <f t="shared" si="6"/>
        <v/>
      </c>
      <c r="AS85">
        <f t="shared" si="7"/>
        <v>0</v>
      </c>
      <c r="AT85">
        <v>0</v>
      </c>
      <c r="AU85">
        <v>32144</v>
      </c>
      <c r="AV85">
        <v>144650</v>
      </c>
      <c r="AW85">
        <v>56.65</v>
      </c>
      <c r="AX85">
        <v>2115.3000000000002</v>
      </c>
      <c r="AY85">
        <v>2553.42</v>
      </c>
      <c r="AZ85">
        <f t="shared" si="8"/>
        <v>4668.72</v>
      </c>
      <c r="BA85">
        <v>99</v>
      </c>
      <c r="BB85">
        <v>26</v>
      </c>
      <c r="BC85" s="4"/>
      <c r="BD85" t="str">
        <f t="shared" si="9"/>
        <v/>
      </c>
    </row>
    <row r="86" spans="1:57" x14ac:dyDescent="0.25">
      <c r="A86">
        <v>80</v>
      </c>
      <c r="B86" t="s">
        <v>10</v>
      </c>
      <c r="C86" t="s">
        <v>45</v>
      </c>
      <c r="D86" t="s">
        <v>216</v>
      </c>
      <c r="E86" t="s">
        <v>217</v>
      </c>
      <c r="F86" t="s">
        <v>308</v>
      </c>
      <c r="G86" t="s">
        <v>390</v>
      </c>
      <c r="H86">
        <v>1.495373775</v>
      </c>
      <c r="I86">
        <v>11.67689491</v>
      </c>
      <c r="J86">
        <v>11.67689491</v>
      </c>
      <c r="M86">
        <v>3.9560394649999999</v>
      </c>
      <c r="N86">
        <v>3</v>
      </c>
      <c r="O86">
        <v>23</v>
      </c>
      <c r="P86">
        <v>0.5</v>
      </c>
      <c r="Q86">
        <v>1</v>
      </c>
      <c r="AJ86">
        <v>0.73422793200000003</v>
      </c>
      <c r="AL86">
        <f t="shared" si="5"/>
        <v>156907.81180064284</v>
      </c>
      <c r="AM86">
        <f t="shared" si="6"/>
        <v>1</v>
      </c>
      <c r="AS86">
        <f t="shared" si="7"/>
        <v>64.287999999999997</v>
      </c>
      <c r="AT86">
        <v>2E-3</v>
      </c>
      <c r="AU86">
        <v>32144</v>
      </c>
      <c r="AV86">
        <v>144650</v>
      </c>
      <c r="AW86">
        <v>56.65</v>
      </c>
      <c r="AX86">
        <v>2115.3000000000002</v>
      </c>
      <c r="AY86">
        <v>2553.42</v>
      </c>
      <c r="AZ86">
        <f t="shared" si="8"/>
        <v>4668.72</v>
      </c>
      <c r="BA86">
        <v>99</v>
      </c>
      <c r="BB86">
        <v>26</v>
      </c>
      <c r="BC86" s="4">
        <v>0.336083148701663</v>
      </c>
      <c r="BD86">
        <f t="shared" si="9"/>
        <v>33.608314870166303</v>
      </c>
      <c r="BE86">
        <v>60</v>
      </c>
    </row>
    <row r="87" spans="1:57" x14ac:dyDescent="0.25">
      <c r="A87">
        <v>65</v>
      </c>
      <c r="B87" t="s">
        <v>114</v>
      </c>
      <c r="C87" t="s">
        <v>135</v>
      </c>
      <c r="D87" t="s">
        <v>218</v>
      </c>
      <c r="E87" t="s">
        <v>219</v>
      </c>
      <c r="F87" t="s">
        <v>309</v>
      </c>
      <c r="G87" t="s">
        <v>391</v>
      </c>
      <c r="H87">
        <v>1.026456561</v>
      </c>
      <c r="I87">
        <v>7.0072180069999996</v>
      </c>
      <c r="J87">
        <v>7.0072180069999996</v>
      </c>
      <c r="M87">
        <v>2.0007928009999998</v>
      </c>
      <c r="N87">
        <v>7.4</v>
      </c>
      <c r="O87">
        <v>18</v>
      </c>
      <c r="P87">
        <v>0.5</v>
      </c>
      <c r="Q87">
        <v>1</v>
      </c>
      <c r="AJ87">
        <v>0.50905831199999996</v>
      </c>
      <c r="AL87" t="str">
        <f t="shared" si="5"/>
        <v/>
      </c>
      <c r="AM87" t="str">
        <f t="shared" si="6"/>
        <v/>
      </c>
      <c r="AS87">
        <f t="shared" si="7"/>
        <v>0</v>
      </c>
      <c r="AT87">
        <v>0</v>
      </c>
      <c r="AU87">
        <v>32144</v>
      </c>
      <c r="AV87">
        <v>144650</v>
      </c>
      <c r="AW87">
        <v>56.65</v>
      </c>
      <c r="AX87">
        <v>2115.3000000000002</v>
      </c>
      <c r="AY87">
        <v>2553.42</v>
      </c>
      <c r="AZ87">
        <f t="shared" si="8"/>
        <v>4668.72</v>
      </c>
      <c r="BA87">
        <v>99</v>
      </c>
      <c r="BB87">
        <v>26</v>
      </c>
      <c r="BC87" s="4"/>
      <c r="BD87" t="str">
        <f t="shared" ref="BD87" si="10">IF(BC87="","",(BC87*100))</f>
        <v/>
      </c>
    </row>
    <row r="88" spans="1:57" x14ac:dyDescent="0.25">
      <c r="A88">
        <v>75</v>
      </c>
      <c r="B88" t="s">
        <v>10</v>
      </c>
      <c r="C88" t="s">
        <v>220</v>
      </c>
      <c r="D88" t="s">
        <v>221</v>
      </c>
      <c r="E88" t="s">
        <v>222</v>
      </c>
      <c r="F88" t="s">
        <v>310</v>
      </c>
      <c r="G88" t="s">
        <v>392</v>
      </c>
      <c r="H88">
        <v>1.006440341</v>
      </c>
      <c r="I88">
        <v>7.2164312549999998</v>
      </c>
      <c r="J88">
        <v>7.2164312549999998</v>
      </c>
      <c r="M88">
        <v>1.9564426290000001</v>
      </c>
      <c r="N88">
        <v>2</v>
      </c>
      <c r="P88">
        <v>0.5</v>
      </c>
      <c r="Q88">
        <v>1</v>
      </c>
      <c r="AJ88">
        <v>0.501586529</v>
      </c>
      <c r="AL88" t="str">
        <f>IFERROR((#REF!*BA88),"")</f>
        <v/>
      </c>
      <c r="AM88">
        <f>IF(BE88="","",(IF(BE88&gt;29,1,0)))</f>
        <v>1</v>
      </c>
      <c r="AS88">
        <f t="shared" si="7"/>
        <v>7071.68</v>
      </c>
      <c r="AT88">
        <v>0.22</v>
      </c>
      <c r="AU88">
        <v>32144</v>
      </c>
      <c r="AV88">
        <v>144650</v>
      </c>
      <c r="AW88">
        <v>56.65</v>
      </c>
      <c r="AX88">
        <v>2115.3000000000002</v>
      </c>
      <c r="AY88">
        <v>2553.42</v>
      </c>
      <c r="AZ88">
        <f t="shared" si="8"/>
        <v>4668.72</v>
      </c>
      <c r="BA88">
        <v>99</v>
      </c>
      <c r="BB88">
        <v>26</v>
      </c>
      <c r="BC88" s="4">
        <v>0.69890357980220597</v>
      </c>
      <c r="BD88">
        <f t="shared" ref="BD88" si="11">IF(BC88="","",(BC88*100))</f>
        <v>69.8903579802206</v>
      </c>
      <c r="BE88">
        <v>81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Cortni Borgerson</dc:creator>
  <cp:lastModifiedBy>Rich Bankoff</cp:lastModifiedBy>
  <dcterms:created xsi:type="dcterms:W3CDTF">2022-08-03T15:51:01Z</dcterms:created>
  <dcterms:modified xsi:type="dcterms:W3CDTF">2022-08-27T16:52:18Z</dcterms:modified>
</cp:coreProperties>
</file>